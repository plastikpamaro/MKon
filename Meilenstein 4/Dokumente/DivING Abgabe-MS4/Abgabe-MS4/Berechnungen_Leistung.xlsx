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de.sharepoint.com/sites/MkonProjekt/Freigegebene Dokumente/Grupp2/MS4/"/>
    </mc:Choice>
  </mc:AlternateContent>
  <xr:revisionPtr revIDLastSave="123" documentId="11_531109F19291DC4217B58B266757BB622573FEEA" xr6:coauthVersionLast="46" xr6:coauthVersionMax="46" xr10:uidLastSave="{06BA8701-4953-5F42-9436-92306E908E02}"/>
  <bookViews>
    <workbookView xWindow="0" yWindow="500" windowWidth="25600" windowHeight="1432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34" i="1" s="1"/>
  <c r="B39" i="1"/>
  <c r="B30" i="1"/>
  <c r="B18" i="1"/>
  <c r="B14" i="1"/>
  <c r="B10" i="1"/>
  <c r="B6" i="1"/>
</calcChain>
</file>

<file path=xl/sharedStrings.xml><?xml version="1.0" encoding="utf-8"?>
<sst xmlns="http://schemas.openxmlformats.org/spreadsheetml/2006/main" count="51" uniqueCount="41">
  <si>
    <t>Kräfte</t>
  </si>
  <si>
    <t>Dichte Wasser</t>
  </si>
  <si>
    <t>kg/m^3</t>
  </si>
  <si>
    <t>Volumen Drohne</t>
  </si>
  <si>
    <t>m^3</t>
  </si>
  <si>
    <t>rho_w*V*g</t>
  </si>
  <si>
    <t>m/s^2</t>
  </si>
  <si>
    <t>g</t>
  </si>
  <si>
    <t>Auftriebskraft (Drohne)</t>
  </si>
  <si>
    <t>Gewichtskraft (Drohne)</t>
  </si>
  <si>
    <t>m_drohne*g</t>
  </si>
  <si>
    <t>kg</t>
  </si>
  <si>
    <t>N</t>
  </si>
  <si>
    <t>cw (platte)</t>
  </si>
  <si>
    <t>m/s</t>
  </si>
  <si>
    <t>Stirnfläche (maximal)</t>
  </si>
  <si>
    <t>m^2</t>
  </si>
  <si>
    <t>(0,45*0,4)m^2</t>
  </si>
  <si>
    <t>Widerstands-kraft</t>
  </si>
  <si>
    <t>Gewichtskraft (Objekt)</t>
  </si>
  <si>
    <t>Max Masse des objekts (anforderung 4.3)</t>
  </si>
  <si>
    <t>Max Masse der Drohne (Anforderung 4.1)</t>
  </si>
  <si>
    <t>v (anforderung 3.2)</t>
  </si>
  <si>
    <t>Auftriebskraft (Objekt)</t>
  </si>
  <si>
    <t>V=m/rho_st</t>
  </si>
  <si>
    <t>Resultiernde Leistung</t>
  </si>
  <si>
    <t>P=F_res*v</t>
  </si>
  <si>
    <t>Fall Abtauchen(ohne Objekt)</t>
  </si>
  <si>
    <t>P=(F_a,d-Fg,d+F_w)*v</t>
  </si>
  <si>
    <t>W</t>
  </si>
  <si>
    <t>Fall Auftauchen(mit Objekt)</t>
  </si>
  <si>
    <t>P=(-F_a,d+Fg,d+F_w+F_g,obj-F_a,obj)*v</t>
  </si>
  <si>
    <t>Motorleistung</t>
  </si>
  <si>
    <t>P/(4*0,8)</t>
  </si>
  <si>
    <t>Wirkungsgrad Gleichstommotor circa 0,8</t>
  </si>
  <si>
    <t>Lesitung durch 4 geteilt, da 4 Rotorantriebe</t>
  </si>
  <si>
    <t>cw*A*rho_w*v^2*0,5</t>
  </si>
  <si>
    <t>m_obj*g</t>
  </si>
  <si>
    <t>Volumen des Menschen genähert durch Quader (0,5*0,3*1,8)</t>
  </si>
  <si>
    <t>Die negative Leistung bedeutet, dass Kraft aufgebracht werden muss, nicht unkontrolliert aufzutauchen</t>
  </si>
  <si>
    <t>Der wesentliche Lastfall ist somit das Abtauchen. Der Betrrag der benötigten Leistung ist hier maximal.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</si>
</sst>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rgb="FF44546A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A2B8E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2" fillId="0" borderId="2" xfId="2" applyAlignment="1">
      <alignment wrapText="1"/>
    </xf>
    <xf numFmtId="0" fontId="0" fillId="0" borderId="0" xfId="0" applyAlignment="1">
      <alignment wrapText="1"/>
    </xf>
    <xf numFmtId="0" fontId="1" fillId="0" borderId="1" xfId="1" applyAlignment="1">
      <alignment wrapText="1"/>
    </xf>
    <xf numFmtId="0" fontId="3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3">
    <cellStyle name="Standard" xfId="0" builtinId="0"/>
    <cellStyle name="Überschrift 1" xfId="1" builtinId="16"/>
    <cellStyle name="Überschrift 2" xfId="2" builtinId="1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NULL"/><Relationship Id="rId21" Type="http://schemas.openxmlformats.org/officeDocument/2006/relationships/customXml" Target="../ink/ink11.xml"/><Relationship Id="rId42" Type="http://schemas.openxmlformats.org/officeDocument/2006/relationships/image" Target="NULL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NULL"/><Relationship Id="rId2" Type="http://schemas.openxmlformats.org/officeDocument/2006/relationships/image" Target="NULL"/><Relationship Id="rId16" Type="http://schemas.openxmlformats.org/officeDocument/2006/relationships/image" Target="NULL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NULL"/><Relationship Id="rId32" Type="http://schemas.openxmlformats.org/officeDocument/2006/relationships/image" Target="NULL"/><Relationship Id="rId37" Type="http://schemas.openxmlformats.org/officeDocument/2006/relationships/customXml" Target="../ink/ink19.xml"/><Relationship Id="rId40" Type="http://schemas.openxmlformats.org/officeDocument/2006/relationships/image" Target="NULL"/><Relationship Id="rId45" Type="http://schemas.openxmlformats.org/officeDocument/2006/relationships/customXml" Target="../ink/ink23.xml"/><Relationship Id="rId53" Type="http://schemas.openxmlformats.org/officeDocument/2006/relationships/customXml" Target="../ink/ink27.xml"/><Relationship Id="rId58" Type="http://schemas.openxmlformats.org/officeDocument/2006/relationships/image" Target="NULL"/><Relationship Id="rId66" Type="http://schemas.openxmlformats.org/officeDocument/2006/relationships/image" Target="NULL"/><Relationship Id="rId74" Type="http://schemas.openxmlformats.org/officeDocument/2006/relationships/image" Target="NULL"/><Relationship Id="rId5" Type="http://schemas.openxmlformats.org/officeDocument/2006/relationships/customXml" Target="../ink/ink3.xml"/><Relationship Id="rId61" Type="http://schemas.openxmlformats.org/officeDocument/2006/relationships/customXml" Target="../ink/ink31.xml"/><Relationship Id="rId19" Type="http://schemas.openxmlformats.org/officeDocument/2006/relationships/customXml" Target="../ink/ink10.xml"/><Relationship Id="rId14" Type="http://schemas.openxmlformats.org/officeDocument/2006/relationships/image" Target="NULL"/><Relationship Id="rId22" Type="http://schemas.openxmlformats.org/officeDocument/2006/relationships/image" Target="NULL"/><Relationship Id="rId27" Type="http://schemas.openxmlformats.org/officeDocument/2006/relationships/customXml" Target="../ink/ink14.xml"/><Relationship Id="rId30" Type="http://schemas.openxmlformats.org/officeDocument/2006/relationships/image" Target="NULL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NULL"/><Relationship Id="rId56" Type="http://schemas.openxmlformats.org/officeDocument/2006/relationships/image" Target="NULL"/><Relationship Id="rId64" Type="http://schemas.openxmlformats.org/officeDocument/2006/relationships/image" Target="NULL"/><Relationship Id="rId69" Type="http://schemas.openxmlformats.org/officeDocument/2006/relationships/customXml" Target="../ink/ink35.xml"/><Relationship Id="rId8" Type="http://schemas.openxmlformats.org/officeDocument/2006/relationships/image" Target="NULL"/><Relationship Id="rId51" Type="http://schemas.openxmlformats.org/officeDocument/2006/relationships/customXml" Target="../ink/ink26.xml"/><Relationship Id="rId72" Type="http://schemas.openxmlformats.org/officeDocument/2006/relationships/image" Target="NULL"/><Relationship Id="rId3" Type="http://schemas.openxmlformats.org/officeDocument/2006/relationships/customXml" Target="../ink/ink2.xml"/><Relationship Id="rId12" Type="http://schemas.openxmlformats.org/officeDocument/2006/relationships/image" Target="NULL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NULL"/><Relationship Id="rId46" Type="http://schemas.openxmlformats.org/officeDocument/2006/relationships/image" Target="NULL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NULL"/><Relationship Id="rId41" Type="http://schemas.openxmlformats.org/officeDocument/2006/relationships/customXml" Target="../ink/ink21.xml"/><Relationship Id="rId54" Type="http://schemas.openxmlformats.org/officeDocument/2006/relationships/image" Target="NULL"/><Relationship Id="rId62" Type="http://schemas.openxmlformats.org/officeDocument/2006/relationships/image" Target="NULL"/><Relationship Id="rId70" Type="http://schemas.openxmlformats.org/officeDocument/2006/relationships/image" Target="NULL"/><Relationship Id="rId1" Type="http://schemas.openxmlformats.org/officeDocument/2006/relationships/customXml" Target="../ink/ink1.xml"/><Relationship Id="rId6" Type="http://schemas.openxmlformats.org/officeDocument/2006/relationships/image" Target="NUL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NULL"/><Relationship Id="rId36" Type="http://schemas.openxmlformats.org/officeDocument/2006/relationships/image" Target="NULL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NULL"/><Relationship Id="rId31" Type="http://schemas.openxmlformats.org/officeDocument/2006/relationships/customXml" Target="../ink/ink16.xml"/><Relationship Id="rId44" Type="http://schemas.openxmlformats.org/officeDocument/2006/relationships/image" Target="NULL"/><Relationship Id="rId52" Type="http://schemas.openxmlformats.org/officeDocument/2006/relationships/image" Target="NULL"/><Relationship Id="rId60" Type="http://schemas.openxmlformats.org/officeDocument/2006/relationships/image" Target="NULL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4" Type="http://schemas.openxmlformats.org/officeDocument/2006/relationships/image" Target="NULL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NULL"/><Relationship Id="rId39" Type="http://schemas.openxmlformats.org/officeDocument/2006/relationships/customXml" Target="../ink/ink20.xml"/><Relationship Id="rId34" Type="http://schemas.openxmlformats.org/officeDocument/2006/relationships/image" Target="NULL"/><Relationship Id="rId50" Type="http://schemas.openxmlformats.org/officeDocument/2006/relationships/image" Target="NULL"/><Relationship Id="rId55" Type="http://schemas.openxmlformats.org/officeDocument/2006/relationships/customXml" Target="../ink/ink28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122433</xdr:colOff>
      <xdr:row>5</xdr:row>
      <xdr:rowOff>25193</xdr:rowOff>
    </xdr:from>
    <xdr:to>
      <xdr:col>7</xdr:col>
      <xdr:colOff>203073</xdr:colOff>
      <xdr:row>5</xdr:row>
      <xdr:rowOff>173153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Freihand 1">
              <a:extLst>
                <a:ext uri="{FF2B5EF4-FFF2-40B4-BE49-F238E27FC236}">
                  <a16:creationId xmlns:a16="http://schemas.microsoft.com/office/drawing/2014/main" id="{339EE545-E333-E646-BAA6-1A84DDA9C355}"/>
                </a:ext>
              </a:extLst>
            </xdr14:cNvPr>
            <xdr14:cNvContentPartPr/>
          </xdr14:nvContentPartPr>
          <xdr14:nvPr macro=""/>
          <xdr14:xfrm>
            <a:off x="4537800" y="1062360"/>
            <a:ext cx="80640" cy="147960"/>
          </xdr14:xfrm>
        </xdr:contentPart>
      </mc:Choice>
      <mc:Fallback xmlns="">
        <xdr:pic>
          <xdr:nvPicPr>
            <xdr:cNvPr id="2" name="Freihand 1">
              <a:extLst>
                <a:ext uri="{FF2B5EF4-FFF2-40B4-BE49-F238E27FC236}">
                  <a16:creationId xmlns:a16="http://schemas.microsoft.com/office/drawing/2014/main" id="{339EE545-E333-E646-BAA6-1A84DDA9C3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30240" y="1054800"/>
              <a:ext cx="9576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215673</xdr:colOff>
      <xdr:row>5</xdr:row>
      <xdr:rowOff>173513</xdr:rowOff>
    </xdr:from>
    <xdr:to>
      <xdr:col>7</xdr:col>
      <xdr:colOff>224673</xdr:colOff>
      <xdr:row>5</xdr:row>
      <xdr:rowOff>258473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Freihand 2">
              <a:extLst>
                <a:ext uri="{FF2B5EF4-FFF2-40B4-BE49-F238E27FC236}">
                  <a16:creationId xmlns:a16="http://schemas.microsoft.com/office/drawing/2014/main" id="{7AE8E2CF-165B-C941-8F26-22B46946F741}"/>
                </a:ext>
                <a:ext uri="{147F2762-F138-4A5C-976F-8EAC2B608ADB}">
                  <a16:predDERef xmlns:a16="http://schemas.microsoft.com/office/drawing/2014/main" pred="{339EE545-E333-E646-BAA6-1A84DDA9C355}"/>
                </a:ext>
              </a:extLst>
            </xdr14:cNvPr>
            <xdr14:cNvContentPartPr/>
          </xdr14:nvContentPartPr>
          <xdr14:nvPr macro=""/>
          <xdr14:xfrm>
            <a:off x="4631040" y="1210680"/>
            <a:ext cx="9000" cy="84960"/>
          </xdr14:xfrm>
        </xdr:contentPart>
      </mc:Choice>
      <mc:Fallback xmlns="">
        <xdr:pic>
          <xdr:nvPicPr>
            <xdr:cNvPr id="3" name="Freihand 2">
              <a:extLst>
                <a:ext uri="{FF2B5EF4-FFF2-40B4-BE49-F238E27FC236}">
                  <a16:creationId xmlns:a16="http://schemas.microsoft.com/office/drawing/2014/main" id="{7AE8E2CF-165B-C941-8F26-22B46946F741}"/>
                </a:ext>
                <a:ext uri="{147F2762-F138-4A5C-976F-8EAC2B608ADB}">
                  <a16:predDERef xmlns:a16="http://schemas.microsoft.com/office/drawing/2014/main" pred="{339EE545-E333-E646-BAA6-1A84DDA9C35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23480" y="1203120"/>
              <a:ext cx="2376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211353</xdr:colOff>
      <xdr:row>5</xdr:row>
      <xdr:rowOff>177473</xdr:rowOff>
    </xdr:from>
    <xdr:to>
      <xdr:col>7</xdr:col>
      <xdr:colOff>271113</xdr:colOff>
      <xdr:row>5</xdr:row>
      <xdr:rowOff>262433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47721553-092F-6E4B-92A8-46AC42070168}"/>
                </a:ext>
                <a:ext uri="{147F2762-F138-4A5C-976F-8EAC2B608ADB}">
                  <a16:predDERef xmlns:a16="http://schemas.microsoft.com/office/drawing/2014/main" pred="{7AE8E2CF-165B-C941-8F26-22B46946F741}"/>
                </a:ext>
              </a:extLst>
            </xdr14:cNvPr>
            <xdr14:cNvContentPartPr/>
          </xdr14:nvContentPartPr>
          <xdr14:nvPr macro=""/>
          <xdr14:xfrm>
            <a:off x="4626720" y="1214640"/>
            <a:ext cx="59760" cy="8496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47721553-092F-6E4B-92A8-46AC42070168}"/>
                </a:ext>
                <a:ext uri="{147F2762-F138-4A5C-976F-8EAC2B608ADB}">
                  <a16:predDERef xmlns:a16="http://schemas.microsoft.com/office/drawing/2014/main" pred="{7AE8E2CF-165B-C941-8F26-22B46946F7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619160" y="1207080"/>
              <a:ext cx="7452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317193</xdr:colOff>
      <xdr:row>6</xdr:row>
      <xdr:rowOff>16853</xdr:rowOff>
    </xdr:from>
    <xdr:to>
      <xdr:col>7</xdr:col>
      <xdr:colOff>347073</xdr:colOff>
      <xdr:row>6</xdr:row>
      <xdr:rowOff>63653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Freihand 4">
              <a:extLst>
                <a:ext uri="{FF2B5EF4-FFF2-40B4-BE49-F238E27FC236}">
                  <a16:creationId xmlns:a16="http://schemas.microsoft.com/office/drawing/2014/main" id="{BE9B39BD-F01A-6548-827F-3547E62CF6B4}"/>
                </a:ext>
                <a:ext uri="{147F2762-F138-4A5C-976F-8EAC2B608ADB}">
                  <a16:predDERef xmlns:a16="http://schemas.microsoft.com/office/drawing/2014/main" pred="{47721553-092F-6E4B-92A8-46AC42070168}"/>
                </a:ext>
              </a:extLst>
            </xdr14:cNvPr>
            <xdr14:cNvContentPartPr/>
          </xdr14:nvContentPartPr>
          <xdr14:nvPr macro=""/>
          <xdr14:xfrm>
            <a:off x="4732560" y="1244520"/>
            <a:ext cx="29880" cy="46800"/>
          </xdr14:xfrm>
        </xdr:contentPart>
      </mc:Choice>
      <mc:Fallback xmlns="">
        <xdr:pic>
          <xdr:nvPicPr>
            <xdr:cNvPr id="5" name="Freihand 4">
              <a:extLst>
                <a:ext uri="{FF2B5EF4-FFF2-40B4-BE49-F238E27FC236}">
                  <a16:creationId xmlns:a16="http://schemas.microsoft.com/office/drawing/2014/main" id="{BE9B39BD-F01A-6548-827F-3547E62CF6B4}"/>
                </a:ext>
                <a:ext uri="{147F2762-F138-4A5C-976F-8EAC2B608ADB}">
                  <a16:predDERef xmlns:a16="http://schemas.microsoft.com/office/drawing/2014/main" pred="{47721553-092F-6E4B-92A8-46AC4207016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25000" y="1236960"/>
              <a:ext cx="4500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380913</xdr:colOff>
      <xdr:row>6</xdr:row>
      <xdr:rowOff>33773</xdr:rowOff>
    </xdr:from>
    <xdr:to>
      <xdr:col>7</xdr:col>
      <xdr:colOff>436353</xdr:colOff>
      <xdr:row>6</xdr:row>
      <xdr:rowOff>89213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Freihand 5">
              <a:extLst>
                <a:ext uri="{FF2B5EF4-FFF2-40B4-BE49-F238E27FC236}">
                  <a16:creationId xmlns:a16="http://schemas.microsoft.com/office/drawing/2014/main" id="{58ED30E2-825B-924E-A338-98BC4C7B7D82}"/>
                </a:ext>
                <a:ext uri="{147F2762-F138-4A5C-976F-8EAC2B608ADB}">
                  <a16:predDERef xmlns:a16="http://schemas.microsoft.com/office/drawing/2014/main" pred="{BE9B39BD-F01A-6548-827F-3547E62CF6B4}"/>
                </a:ext>
              </a:extLst>
            </xdr14:cNvPr>
            <xdr14:cNvContentPartPr/>
          </xdr14:nvContentPartPr>
          <xdr14:nvPr macro=""/>
          <xdr14:xfrm>
            <a:off x="4796280" y="1261440"/>
            <a:ext cx="55440" cy="55440"/>
          </xdr14:xfrm>
        </xdr:contentPart>
      </mc:Choice>
      <mc:Fallback xmlns="">
        <xdr:pic>
          <xdr:nvPicPr>
            <xdr:cNvPr id="6" name="Freihand 5">
              <a:extLst>
                <a:ext uri="{FF2B5EF4-FFF2-40B4-BE49-F238E27FC236}">
                  <a16:creationId xmlns:a16="http://schemas.microsoft.com/office/drawing/2014/main" id="{58ED30E2-825B-924E-A338-98BC4C7B7D82}"/>
                </a:ext>
                <a:ext uri="{147F2762-F138-4A5C-976F-8EAC2B608ADB}">
                  <a16:predDERef xmlns:a16="http://schemas.microsoft.com/office/drawing/2014/main" pred="{BE9B39BD-F01A-6548-827F-3547E62CF6B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788720" y="1253880"/>
              <a:ext cx="70560" cy="7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456873</xdr:colOff>
      <xdr:row>5</xdr:row>
      <xdr:rowOff>164873</xdr:rowOff>
    </xdr:from>
    <xdr:to>
      <xdr:col>7</xdr:col>
      <xdr:colOff>507993</xdr:colOff>
      <xdr:row>5</xdr:row>
      <xdr:rowOff>296633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Freihand 6">
              <a:extLst>
                <a:ext uri="{FF2B5EF4-FFF2-40B4-BE49-F238E27FC236}">
                  <a16:creationId xmlns:a16="http://schemas.microsoft.com/office/drawing/2014/main" id="{817EA0EC-56B8-3E4F-9789-6CFBF8B40E1A}"/>
                </a:ext>
                <a:ext uri="{147F2762-F138-4A5C-976F-8EAC2B608ADB}">
                  <a16:predDERef xmlns:a16="http://schemas.microsoft.com/office/drawing/2014/main" pred="{58ED30E2-825B-924E-A338-98BC4C7B7D82}"/>
                </a:ext>
              </a:extLst>
            </xdr14:cNvPr>
            <xdr14:cNvContentPartPr/>
          </xdr14:nvContentPartPr>
          <xdr14:nvPr macro=""/>
          <xdr14:xfrm>
            <a:off x="4872240" y="1202040"/>
            <a:ext cx="51120" cy="131760"/>
          </xdr14:xfrm>
        </xdr:contentPart>
      </mc:Choice>
      <mc:Fallback xmlns="">
        <xdr:pic>
          <xdr:nvPicPr>
            <xdr:cNvPr id="7" name="Freihand 6">
              <a:extLst>
                <a:ext uri="{FF2B5EF4-FFF2-40B4-BE49-F238E27FC236}">
                  <a16:creationId xmlns:a16="http://schemas.microsoft.com/office/drawing/2014/main" id="{817EA0EC-56B8-3E4F-9789-6CFBF8B40E1A}"/>
                </a:ext>
                <a:ext uri="{147F2762-F138-4A5C-976F-8EAC2B608ADB}">
                  <a16:predDERef xmlns:a16="http://schemas.microsoft.com/office/drawing/2014/main" pred="{58ED30E2-825B-924E-A338-98BC4C7B7D8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864680" y="1194480"/>
              <a:ext cx="6624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528873</xdr:colOff>
      <xdr:row>6</xdr:row>
      <xdr:rowOff>46373</xdr:rowOff>
    </xdr:from>
    <xdr:to>
      <xdr:col>7</xdr:col>
      <xdr:colOff>660633</xdr:colOff>
      <xdr:row>6</xdr:row>
      <xdr:rowOff>106133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Freihand 7">
              <a:extLst>
                <a:ext uri="{FF2B5EF4-FFF2-40B4-BE49-F238E27FC236}">
                  <a16:creationId xmlns:a16="http://schemas.microsoft.com/office/drawing/2014/main" id="{630FF7EE-B7E9-5749-B717-625FF085DEDC}"/>
                </a:ext>
                <a:ext uri="{147F2762-F138-4A5C-976F-8EAC2B608ADB}">
                  <a16:predDERef xmlns:a16="http://schemas.microsoft.com/office/drawing/2014/main" pred="{817EA0EC-56B8-3E4F-9789-6CFBF8B40E1A}"/>
                </a:ext>
              </a:extLst>
            </xdr14:cNvPr>
            <xdr14:cNvContentPartPr/>
          </xdr14:nvContentPartPr>
          <xdr14:nvPr macro=""/>
          <xdr14:xfrm>
            <a:off x="4944240" y="1274040"/>
            <a:ext cx="131760" cy="59760"/>
          </xdr14:xfrm>
        </xdr:contentPart>
      </mc:Choice>
      <mc:Fallback xmlns="">
        <xdr:pic>
          <xdr:nvPicPr>
            <xdr:cNvPr id="8" name="Freihand 7">
              <a:extLst>
                <a:ext uri="{FF2B5EF4-FFF2-40B4-BE49-F238E27FC236}">
                  <a16:creationId xmlns:a16="http://schemas.microsoft.com/office/drawing/2014/main" id="{630FF7EE-B7E9-5749-B717-625FF085DEDC}"/>
                </a:ext>
                <a:ext uri="{147F2762-F138-4A5C-976F-8EAC2B608ADB}">
                  <a16:predDERef xmlns:a16="http://schemas.microsoft.com/office/drawing/2014/main" pred="{817EA0EC-56B8-3E4F-9789-6CFBF8B40E1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936680" y="1266480"/>
              <a:ext cx="14652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105827</xdr:colOff>
      <xdr:row>5</xdr:row>
      <xdr:rowOff>80273</xdr:rowOff>
    </xdr:from>
    <xdr:to>
      <xdr:col>8</xdr:col>
      <xdr:colOff>195107</xdr:colOff>
      <xdr:row>5</xdr:row>
      <xdr:rowOff>97553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Freihand 8">
              <a:extLst>
                <a:ext uri="{FF2B5EF4-FFF2-40B4-BE49-F238E27FC236}">
                  <a16:creationId xmlns:a16="http://schemas.microsoft.com/office/drawing/2014/main" id="{F201379A-B1DE-B142-B60B-493B1199323C}"/>
                </a:ext>
                <a:ext uri="{147F2762-F138-4A5C-976F-8EAC2B608ADB}">
                  <a16:predDERef xmlns:a16="http://schemas.microsoft.com/office/drawing/2014/main" pred="{630FF7EE-B7E9-5749-B717-625FF085DEDC}"/>
                </a:ext>
              </a:extLst>
            </xdr14:cNvPr>
            <xdr14:cNvContentPartPr/>
          </xdr14:nvContentPartPr>
          <xdr14:nvPr macro=""/>
          <xdr14:xfrm>
            <a:off x="5151960" y="1117440"/>
            <a:ext cx="89280" cy="17280"/>
          </xdr14:xfrm>
        </xdr:contentPart>
      </mc:Choice>
      <mc:Fallback xmlns="">
        <xdr:pic>
          <xdr:nvPicPr>
            <xdr:cNvPr id="9" name="Freihand 8">
              <a:extLst>
                <a:ext uri="{FF2B5EF4-FFF2-40B4-BE49-F238E27FC236}">
                  <a16:creationId xmlns:a16="http://schemas.microsoft.com/office/drawing/2014/main" id="{F201379A-B1DE-B142-B60B-493B1199323C}"/>
                </a:ext>
                <a:ext uri="{147F2762-F138-4A5C-976F-8EAC2B608ADB}">
                  <a16:predDERef xmlns:a16="http://schemas.microsoft.com/office/drawing/2014/main" pred="{630FF7EE-B7E9-5749-B717-625FF085DED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144400" y="1109880"/>
              <a:ext cx="10440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97187</xdr:colOff>
      <xdr:row>5</xdr:row>
      <xdr:rowOff>114113</xdr:rowOff>
    </xdr:from>
    <xdr:to>
      <xdr:col>8</xdr:col>
      <xdr:colOff>177827</xdr:colOff>
      <xdr:row>5</xdr:row>
      <xdr:rowOff>131393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Freihand 9">
              <a:extLst>
                <a:ext uri="{FF2B5EF4-FFF2-40B4-BE49-F238E27FC236}">
                  <a16:creationId xmlns:a16="http://schemas.microsoft.com/office/drawing/2014/main" id="{8E0D022D-B6EC-2A47-B1A9-EFD12771E0FC}"/>
                </a:ext>
                <a:ext uri="{147F2762-F138-4A5C-976F-8EAC2B608ADB}">
                  <a16:predDERef xmlns:a16="http://schemas.microsoft.com/office/drawing/2014/main" pred="{F201379A-B1DE-B142-B60B-493B1199323C}"/>
                </a:ext>
              </a:extLst>
            </xdr14:cNvPr>
            <xdr14:cNvContentPartPr/>
          </xdr14:nvContentPartPr>
          <xdr14:nvPr macro=""/>
          <xdr14:xfrm>
            <a:off x="5143320" y="1151280"/>
            <a:ext cx="80640" cy="17280"/>
          </xdr14:xfrm>
        </xdr:contentPart>
      </mc:Choice>
      <mc:Fallback xmlns="">
        <xdr:pic>
          <xdr:nvPicPr>
            <xdr:cNvPr id="10" name="Freihand 9">
              <a:extLst>
                <a:ext uri="{FF2B5EF4-FFF2-40B4-BE49-F238E27FC236}">
                  <a16:creationId xmlns:a16="http://schemas.microsoft.com/office/drawing/2014/main" id="{8E0D022D-B6EC-2A47-B1A9-EFD12771E0FC}"/>
                </a:ext>
                <a:ext uri="{147F2762-F138-4A5C-976F-8EAC2B608ADB}">
                  <a16:predDERef xmlns:a16="http://schemas.microsoft.com/office/drawing/2014/main" pred="{F201379A-B1DE-B142-B60B-493B1199323C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135760" y="1143720"/>
              <a:ext cx="9576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296267</xdr:colOff>
      <xdr:row>5</xdr:row>
      <xdr:rowOff>47153</xdr:rowOff>
    </xdr:from>
    <xdr:to>
      <xdr:col>8</xdr:col>
      <xdr:colOff>389867</xdr:colOff>
      <xdr:row>5</xdr:row>
      <xdr:rowOff>139673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Freihand 10">
              <a:extLst>
                <a:ext uri="{FF2B5EF4-FFF2-40B4-BE49-F238E27FC236}">
                  <a16:creationId xmlns:a16="http://schemas.microsoft.com/office/drawing/2014/main" id="{6131B4C2-FEF7-5B4E-818A-6A657C37CEB5}"/>
                </a:ext>
                <a:ext uri="{147F2762-F138-4A5C-976F-8EAC2B608ADB}">
                  <a16:predDERef xmlns:a16="http://schemas.microsoft.com/office/drawing/2014/main" pred="{8E0D022D-B6EC-2A47-B1A9-EFD12771E0FC}"/>
                </a:ext>
              </a:extLst>
            </xdr14:cNvPr>
            <xdr14:cNvContentPartPr/>
          </xdr14:nvContentPartPr>
          <xdr14:nvPr macro=""/>
          <xdr14:xfrm>
            <a:off x="5342400" y="1084320"/>
            <a:ext cx="93600" cy="92520"/>
          </xdr14:xfrm>
        </xdr:contentPart>
      </mc:Choice>
      <mc:Fallback xmlns="">
        <xdr:pic>
          <xdr:nvPicPr>
            <xdr:cNvPr id="11" name="Freihand 10">
              <a:extLst>
                <a:ext uri="{FF2B5EF4-FFF2-40B4-BE49-F238E27FC236}">
                  <a16:creationId xmlns:a16="http://schemas.microsoft.com/office/drawing/2014/main" id="{6131B4C2-FEF7-5B4E-818A-6A657C37CEB5}"/>
                </a:ext>
                <a:ext uri="{147F2762-F138-4A5C-976F-8EAC2B608ADB}">
                  <a16:predDERef xmlns:a16="http://schemas.microsoft.com/office/drawing/2014/main" pred="{8E0D022D-B6EC-2A47-B1A9-EFD12771E0F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334840" y="1077120"/>
              <a:ext cx="10872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427307</xdr:colOff>
      <xdr:row>5</xdr:row>
      <xdr:rowOff>147953</xdr:rowOff>
    </xdr:from>
    <xdr:to>
      <xdr:col>8</xdr:col>
      <xdr:colOff>431987</xdr:colOff>
      <xdr:row>5</xdr:row>
      <xdr:rowOff>249833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Freihand 11">
              <a:extLst>
                <a:ext uri="{FF2B5EF4-FFF2-40B4-BE49-F238E27FC236}">
                  <a16:creationId xmlns:a16="http://schemas.microsoft.com/office/drawing/2014/main" id="{E465C09F-83C8-E045-820D-74B2B5058037}"/>
                </a:ext>
                <a:ext uri="{147F2762-F138-4A5C-976F-8EAC2B608ADB}">
                  <a16:predDERef xmlns:a16="http://schemas.microsoft.com/office/drawing/2014/main" pred="{6131B4C2-FEF7-5B4E-818A-6A657C37CEB5}"/>
                </a:ext>
              </a:extLst>
            </xdr14:cNvPr>
            <xdr14:cNvContentPartPr/>
          </xdr14:nvContentPartPr>
          <xdr14:nvPr macro=""/>
          <xdr14:xfrm>
            <a:off x="5473440" y="1185120"/>
            <a:ext cx="4680" cy="101880"/>
          </xdr14:xfrm>
        </xdr:contentPart>
      </mc:Choice>
      <mc:Fallback xmlns="">
        <xdr:pic>
          <xdr:nvPicPr>
            <xdr:cNvPr id="12" name="Freihand 11">
              <a:extLst>
                <a:ext uri="{FF2B5EF4-FFF2-40B4-BE49-F238E27FC236}">
                  <a16:creationId xmlns:a16="http://schemas.microsoft.com/office/drawing/2014/main" id="{E465C09F-83C8-E045-820D-74B2B5058037}"/>
                </a:ext>
                <a:ext uri="{147F2762-F138-4A5C-976F-8EAC2B608ADB}">
                  <a16:predDERef xmlns:a16="http://schemas.microsoft.com/office/drawing/2014/main" pred="{6131B4C2-FEF7-5B4E-818A-6A657C37CEB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465880" y="1177560"/>
              <a:ext cx="1980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507947</xdr:colOff>
      <xdr:row>5</xdr:row>
      <xdr:rowOff>67673</xdr:rowOff>
    </xdr:from>
    <xdr:to>
      <xdr:col>8</xdr:col>
      <xdr:colOff>546467</xdr:colOff>
      <xdr:row>5</xdr:row>
      <xdr:rowOff>114473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Freihand 12">
              <a:extLst>
                <a:ext uri="{FF2B5EF4-FFF2-40B4-BE49-F238E27FC236}">
                  <a16:creationId xmlns:a16="http://schemas.microsoft.com/office/drawing/2014/main" id="{892E69F0-2A80-7A42-9625-4B3FB03800EB}"/>
                </a:ext>
                <a:ext uri="{147F2762-F138-4A5C-976F-8EAC2B608ADB}">
                  <a16:predDERef xmlns:a16="http://schemas.microsoft.com/office/drawing/2014/main" pred="{E465C09F-83C8-E045-820D-74B2B5058037}"/>
                </a:ext>
              </a:extLst>
            </xdr14:cNvPr>
            <xdr14:cNvContentPartPr/>
          </xdr14:nvContentPartPr>
          <xdr14:nvPr macro=""/>
          <xdr14:xfrm>
            <a:off x="5554080" y="1104840"/>
            <a:ext cx="38520" cy="46800"/>
          </xdr14:xfrm>
        </xdr:contentPart>
      </mc:Choice>
      <mc:Fallback xmlns="">
        <xdr:pic>
          <xdr:nvPicPr>
            <xdr:cNvPr id="13" name="Freihand 12">
              <a:extLst>
                <a:ext uri="{FF2B5EF4-FFF2-40B4-BE49-F238E27FC236}">
                  <a16:creationId xmlns:a16="http://schemas.microsoft.com/office/drawing/2014/main" id="{892E69F0-2A80-7A42-9625-4B3FB03800EB}"/>
                </a:ext>
                <a:ext uri="{147F2762-F138-4A5C-976F-8EAC2B608ADB}">
                  <a16:predDERef xmlns:a16="http://schemas.microsoft.com/office/drawing/2014/main" pred="{E465C09F-83C8-E045-820D-74B2B505803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546520" y="1097280"/>
              <a:ext cx="5364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545747</xdr:colOff>
      <xdr:row>5</xdr:row>
      <xdr:rowOff>84593</xdr:rowOff>
    </xdr:from>
    <xdr:to>
      <xdr:col>8</xdr:col>
      <xdr:colOff>558707</xdr:colOff>
      <xdr:row>5</xdr:row>
      <xdr:rowOff>173873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Freihand 13">
              <a:extLst>
                <a:ext uri="{FF2B5EF4-FFF2-40B4-BE49-F238E27FC236}">
                  <a16:creationId xmlns:a16="http://schemas.microsoft.com/office/drawing/2014/main" id="{3353B7CB-F95E-BF4A-9C35-18ACF89AAF62}"/>
                </a:ext>
                <a:ext uri="{147F2762-F138-4A5C-976F-8EAC2B608ADB}">
                  <a16:predDERef xmlns:a16="http://schemas.microsoft.com/office/drawing/2014/main" pred="{892E69F0-2A80-7A42-9625-4B3FB03800EB}"/>
                </a:ext>
              </a:extLst>
            </xdr14:cNvPr>
            <xdr14:cNvContentPartPr/>
          </xdr14:nvContentPartPr>
          <xdr14:nvPr macro=""/>
          <xdr14:xfrm>
            <a:off x="5591880" y="1121760"/>
            <a:ext cx="12960" cy="89280"/>
          </xdr14:xfrm>
        </xdr:contentPart>
      </mc:Choice>
      <mc:Fallback xmlns="">
        <xdr:pic>
          <xdr:nvPicPr>
            <xdr:cNvPr id="14" name="Freihand 13">
              <a:extLst>
                <a:ext uri="{FF2B5EF4-FFF2-40B4-BE49-F238E27FC236}">
                  <a16:creationId xmlns:a16="http://schemas.microsoft.com/office/drawing/2014/main" id="{3353B7CB-F95E-BF4A-9C35-18ACF89AAF62}"/>
                </a:ext>
                <a:ext uri="{147F2762-F138-4A5C-976F-8EAC2B608ADB}">
                  <a16:predDERef xmlns:a16="http://schemas.microsoft.com/office/drawing/2014/main" pred="{892E69F0-2A80-7A42-9625-4B3FB03800EB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584680" y="1114200"/>
              <a:ext cx="2808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588227</xdr:colOff>
      <xdr:row>5</xdr:row>
      <xdr:rowOff>75953</xdr:rowOff>
    </xdr:from>
    <xdr:to>
      <xdr:col>8</xdr:col>
      <xdr:colOff>656267</xdr:colOff>
      <xdr:row>5</xdr:row>
      <xdr:rowOff>173513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5" name="Freihand 14">
              <a:extLst>
                <a:ext uri="{FF2B5EF4-FFF2-40B4-BE49-F238E27FC236}">
                  <a16:creationId xmlns:a16="http://schemas.microsoft.com/office/drawing/2014/main" id="{80E3B59E-FAE0-884B-A17A-2CD46AC00F7B}"/>
                </a:ext>
                <a:ext uri="{147F2762-F138-4A5C-976F-8EAC2B608ADB}">
                  <a16:predDERef xmlns:a16="http://schemas.microsoft.com/office/drawing/2014/main" pred="{3353B7CB-F95E-BF4A-9C35-18ACF89AAF62}"/>
                </a:ext>
              </a:extLst>
            </xdr14:cNvPr>
            <xdr14:cNvContentPartPr/>
          </xdr14:nvContentPartPr>
          <xdr14:nvPr macro=""/>
          <xdr14:xfrm>
            <a:off x="5634360" y="1113120"/>
            <a:ext cx="68040" cy="97560"/>
          </xdr14:xfrm>
        </xdr:contentPart>
      </mc:Choice>
      <mc:Fallback xmlns="">
        <xdr:pic>
          <xdr:nvPicPr>
            <xdr:cNvPr id="15" name="Freihand 14">
              <a:extLst>
                <a:ext uri="{FF2B5EF4-FFF2-40B4-BE49-F238E27FC236}">
                  <a16:creationId xmlns:a16="http://schemas.microsoft.com/office/drawing/2014/main" id="{80E3B59E-FAE0-884B-A17A-2CD46AC00F7B}"/>
                </a:ext>
                <a:ext uri="{147F2762-F138-4A5C-976F-8EAC2B608ADB}">
                  <a16:predDERef xmlns:a16="http://schemas.microsoft.com/office/drawing/2014/main" pred="{3353B7CB-F95E-BF4A-9C35-18ACF89AAF6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626800" y="1105560"/>
              <a:ext cx="8316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605147</xdr:colOff>
      <xdr:row>5</xdr:row>
      <xdr:rowOff>63353</xdr:rowOff>
    </xdr:from>
    <xdr:to>
      <xdr:col>9</xdr:col>
      <xdr:colOff>29607</xdr:colOff>
      <xdr:row>5</xdr:row>
      <xdr:rowOff>68033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" name="Freihand 15">
              <a:extLst>
                <a:ext uri="{FF2B5EF4-FFF2-40B4-BE49-F238E27FC236}">
                  <a16:creationId xmlns:a16="http://schemas.microsoft.com/office/drawing/2014/main" id="{F6499EFB-7E5A-AB41-BFA6-01D360F72CB6}"/>
                </a:ext>
                <a:ext uri="{147F2762-F138-4A5C-976F-8EAC2B608ADB}">
                  <a16:predDERef xmlns:a16="http://schemas.microsoft.com/office/drawing/2014/main" pred="{80E3B59E-FAE0-884B-A17A-2CD46AC00F7B}"/>
                </a:ext>
              </a:extLst>
            </xdr14:cNvPr>
            <xdr14:cNvContentPartPr/>
          </xdr14:nvContentPartPr>
          <xdr14:nvPr macro=""/>
          <xdr14:xfrm>
            <a:off x="5651280" y="1100520"/>
            <a:ext cx="97560" cy="4680"/>
          </xdr14:xfrm>
        </xdr:contentPart>
      </mc:Choice>
      <mc:Fallback xmlns="">
        <xdr:pic>
          <xdr:nvPicPr>
            <xdr:cNvPr id="16" name="Freihand 15">
              <a:extLst>
                <a:ext uri="{FF2B5EF4-FFF2-40B4-BE49-F238E27FC236}">
                  <a16:creationId xmlns:a16="http://schemas.microsoft.com/office/drawing/2014/main" id="{F6499EFB-7E5A-AB41-BFA6-01D360F72CB6}"/>
                </a:ext>
                <a:ext uri="{147F2762-F138-4A5C-976F-8EAC2B608ADB}">
                  <a16:predDERef xmlns:a16="http://schemas.microsoft.com/office/drawing/2014/main" pred="{80E3B59E-FAE0-884B-A17A-2CD46AC00F7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643720" y="1092960"/>
              <a:ext cx="11268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97140</xdr:colOff>
      <xdr:row>5</xdr:row>
      <xdr:rowOff>114113</xdr:rowOff>
    </xdr:from>
    <xdr:to>
      <xdr:col>9</xdr:col>
      <xdr:colOff>97500</xdr:colOff>
      <xdr:row>5</xdr:row>
      <xdr:rowOff>118793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7" name="Freihand 16">
              <a:extLst>
                <a:ext uri="{FF2B5EF4-FFF2-40B4-BE49-F238E27FC236}">
                  <a16:creationId xmlns:a16="http://schemas.microsoft.com/office/drawing/2014/main" id="{02BA387B-CAF1-9040-9C54-17CE4D4A925A}"/>
                </a:ext>
                <a:ext uri="{147F2762-F138-4A5C-976F-8EAC2B608ADB}">
                  <a16:predDERef xmlns:a16="http://schemas.microsoft.com/office/drawing/2014/main" pred="{F6499EFB-7E5A-AB41-BFA6-01D360F72CB6}"/>
                </a:ext>
              </a:extLst>
            </xdr14:cNvPr>
            <xdr14:cNvContentPartPr/>
          </xdr14:nvContentPartPr>
          <xdr14:nvPr macro=""/>
          <xdr14:xfrm>
            <a:off x="5774040" y="1151280"/>
            <a:ext cx="360" cy="4680"/>
          </xdr14:xfrm>
        </xdr:contentPart>
      </mc:Choice>
      <mc:Fallback xmlns="">
        <xdr:pic>
          <xdr:nvPicPr>
            <xdr:cNvPr id="17" name="Freihand 16">
              <a:extLst>
                <a:ext uri="{FF2B5EF4-FFF2-40B4-BE49-F238E27FC236}">
                  <a16:creationId xmlns:a16="http://schemas.microsoft.com/office/drawing/2014/main" id="{02BA387B-CAF1-9040-9C54-17CE4D4A925A}"/>
                </a:ext>
                <a:ext uri="{147F2762-F138-4A5C-976F-8EAC2B608ADB}">
                  <a16:predDERef xmlns:a16="http://schemas.microsoft.com/office/drawing/2014/main" pred="{F6499EFB-7E5A-AB41-BFA6-01D360F72CB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766480" y="1143720"/>
              <a:ext cx="1548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169140</xdr:colOff>
      <xdr:row>5</xdr:row>
      <xdr:rowOff>67673</xdr:rowOff>
    </xdr:from>
    <xdr:to>
      <xdr:col>9</xdr:col>
      <xdr:colOff>262740</xdr:colOff>
      <xdr:row>5</xdr:row>
      <xdr:rowOff>169553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8" name="Freihand 17">
              <a:extLst>
                <a:ext uri="{FF2B5EF4-FFF2-40B4-BE49-F238E27FC236}">
                  <a16:creationId xmlns:a16="http://schemas.microsoft.com/office/drawing/2014/main" id="{C1AB54DE-09B3-7240-9EF7-4E7676FCB086}"/>
                </a:ext>
                <a:ext uri="{147F2762-F138-4A5C-976F-8EAC2B608ADB}">
                  <a16:predDERef xmlns:a16="http://schemas.microsoft.com/office/drawing/2014/main" pred="{02BA387B-CAF1-9040-9C54-17CE4D4A925A}"/>
                </a:ext>
              </a:extLst>
            </xdr14:cNvPr>
            <xdr14:cNvContentPartPr/>
          </xdr14:nvContentPartPr>
          <xdr14:nvPr macro=""/>
          <xdr14:xfrm>
            <a:off x="5846040" y="1104840"/>
            <a:ext cx="93600" cy="101880"/>
          </xdr14:xfrm>
        </xdr:contentPart>
      </mc:Choice>
      <mc:Fallback xmlns="">
        <xdr:pic>
          <xdr:nvPicPr>
            <xdr:cNvPr id="18" name="Freihand 17">
              <a:extLst>
                <a:ext uri="{FF2B5EF4-FFF2-40B4-BE49-F238E27FC236}">
                  <a16:creationId xmlns:a16="http://schemas.microsoft.com/office/drawing/2014/main" id="{C1AB54DE-09B3-7240-9EF7-4E7676FCB086}"/>
                </a:ext>
                <a:ext uri="{147F2762-F138-4A5C-976F-8EAC2B608ADB}">
                  <a16:predDERef xmlns:a16="http://schemas.microsoft.com/office/drawing/2014/main" pred="{02BA387B-CAF1-9040-9C54-17CE4D4A925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838480" y="1097280"/>
              <a:ext cx="10872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279300</xdr:colOff>
      <xdr:row>5</xdr:row>
      <xdr:rowOff>152273</xdr:rowOff>
    </xdr:from>
    <xdr:to>
      <xdr:col>9</xdr:col>
      <xdr:colOff>292260</xdr:colOff>
      <xdr:row>5</xdr:row>
      <xdr:rowOff>241553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9" name="Freihand 18">
              <a:extLst>
                <a:ext uri="{FF2B5EF4-FFF2-40B4-BE49-F238E27FC236}">
                  <a16:creationId xmlns:a16="http://schemas.microsoft.com/office/drawing/2014/main" id="{BF519760-0DF2-EB45-B3D7-311FFBB5BBC8}"/>
                </a:ext>
                <a:ext uri="{147F2762-F138-4A5C-976F-8EAC2B608ADB}">
                  <a16:predDERef xmlns:a16="http://schemas.microsoft.com/office/drawing/2014/main" pred="{C1AB54DE-09B3-7240-9EF7-4E7676FCB086}"/>
                </a:ext>
              </a:extLst>
            </xdr14:cNvPr>
            <xdr14:cNvContentPartPr/>
          </xdr14:nvContentPartPr>
          <xdr14:nvPr macro=""/>
          <xdr14:xfrm>
            <a:off x="5956200" y="1189440"/>
            <a:ext cx="12960" cy="89280"/>
          </xdr14:xfrm>
        </xdr:contentPart>
      </mc:Choice>
      <mc:Fallback xmlns="">
        <xdr:pic>
          <xdr:nvPicPr>
            <xdr:cNvPr id="19" name="Freihand 18">
              <a:extLst>
                <a:ext uri="{FF2B5EF4-FFF2-40B4-BE49-F238E27FC236}">
                  <a16:creationId xmlns:a16="http://schemas.microsoft.com/office/drawing/2014/main" id="{BF519760-0DF2-EB45-B3D7-311FFBB5BBC8}"/>
                </a:ext>
                <a:ext uri="{147F2762-F138-4A5C-976F-8EAC2B608ADB}">
                  <a16:predDERef xmlns:a16="http://schemas.microsoft.com/office/drawing/2014/main" pred="{C1AB54DE-09B3-7240-9EF7-4E7676FCB08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948640" y="1181880"/>
              <a:ext cx="2808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359580</xdr:colOff>
      <xdr:row>5</xdr:row>
      <xdr:rowOff>68033</xdr:rowOff>
    </xdr:from>
    <xdr:to>
      <xdr:col>9</xdr:col>
      <xdr:colOff>423300</xdr:colOff>
      <xdr:row>5</xdr:row>
      <xdr:rowOff>127073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0" name="Freihand 19">
              <a:extLst>
                <a:ext uri="{FF2B5EF4-FFF2-40B4-BE49-F238E27FC236}">
                  <a16:creationId xmlns:a16="http://schemas.microsoft.com/office/drawing/2014/main" id="{617EC1CA-1AE5-0140-8771-6D710FF343C8}"/>
                </a:ext>
                <a:ext uri="{147F2762-F138-4A5C-976F-8EAC2B608ADB}">
                  <a16:predDERef xmlns:a16="http://schemas.microsoft.com/office/drawing/2014/main" pred="{BF519760-0DF2-EB45-B3D7-311FFBB5BBC8}"/>
                </a:ext>
              </a:extLst>
            </xdr14:cNvPr>
            <xdr14:cNvContentPartPr/>
          </xdr14:nvContentPartPr>
          <xdr14:nvPr macro=""/>
          <xdr14:xfrm>
            <a:off x="6036480" y="1105200"/>
            <a:ext cx="63720" cy="59040"/>
          </xdr14:xfrm>
        </xdr:contentPart>
      </mc:Choice>
      <mc:Fallback xmlns="">
        <xdr:pic>
          <xdr:nvPicPr>
            <xdr:cNvPr id="20" name="Freihand 19">
              <a:extLst>
                <a:ext uri="{FF2B5EF4-FFF2-40B4-BE49-F238E27FC236}">
                  <a16:creationId xmlns:a16="http://schemas.microsoft.com/office/drawing/2014/main" id="{617EC1CA-1AE5-0140-8771-6D710FF343C8}"/>
                </a:ext>
                <a:ext uri="{147F2762-F138-4A5C-976F-8EAC2B608ADB}">
                  <a16:predDERef xmlns:a16="http://schemas.microsoft.com/office/drawing/2014/main" pred="{BF519760-0DF2-EB45-B3D7-311FFBB5BBC8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028920" y="1097640"/>
              <a:ext cx="7884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435900</xdr:colOff>
      <xdr:row>5</xdr:row>
      <xdr:rowOff>92873</xdr:rowOff>
    </xdr:from>
    <xdr:to>
      <xdr:col>9</xdr:col>
      <xdr:colOff>440580</xdr:colOff>
      <xdr:row>5</xdr:row>
      <xdr:rowOff>199073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1" name="Freihand 20">
              <a:extLst>
                <a:ext uri="{FF2B5EF4-FFF2-40B4-BE49-F238E27FC236}">
                  <a16:creationId xmlns:a16="http://schemas.microsoft.com/office/drawing/2014/main" id="{5F90903B-1080-ED44-9F5B-7CBF249FB437}"/>
                </a:ext>
                <a:ext uri="{147F2762-F138-4A5C-976F-8EAC2B608ADB}">
                  <a16:predDERef xmlns:a16="http://schemas.microsoft.com/office/drawing/2014/main" pred="{617EC1CA-1AE5-0140-8771-6D710FF343C8}"/>
                </a:ext>
              </a:extLst>
            </xdr14:cNvPr>
            <xdr14:cNvContentPartPr/>
          </xdr14:nvContentPartPr>
          <xdr14:nvPr macro=""/>
          <xdr14:xfrm>
            <a:off x="6112800" y="1130040"/>
            <a:ext cx="4680" cy="106200"/>
          </xdr14:xfrm>
        </xdr:contentPart>
      </mc:Choice>
      <mc:Fallback xmlns="">
        <xdr:pic>
          <xdr:nvPicPr>
            <xdr:cNvPr id="21" name="Freihand 20">
              <a:extLst>
                <a:ext uri="{FF2B5EF4-FFF2-40B4-BE49-F238E27FC236}">
                  <a16:creationId xmlns:a16="http://schemas.microsoft.com/office/drawing/2014/main" id="{5F90903B-1080-ED44-9F5B-7CBF249FB437}"/>
                </a:ext>
                <a:ext uri="{147F2762-F138-4A5C-976F-8EAC2B608ADB}">
                  <a16:predDERef xmlns:a16="http://schemas.microsoft.com/office/drawing/2014/main" pred="{617EC1CA-1AE5-0140-8771-6D710FF343C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105240" y="1122480"/>
              <a:ext cx="1980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512220</xdr:colOff>
      <xdr:row>5</xdr:row>
      <xdr:rowOff>109793</xdr:rowOff>
    </xdr:from>
    <xdr:to>
      <xdr:col>9</xdr:col>
      <xdr:colOff>512580</xdr:colOff>
      <xdr:row>5</xdr:row>
      <xdr:rowOff>118793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2" name="Freihand 21">
              <a:extLst>
                <a:ext uri="{FF2B5EF4-FFF2-40B4-BE49-F238E27FC236}">
                  <a16:creationId xmlns:a16="http://schemas.microsoft.com/office/drawing/2014/main" id="{12A329C8-34BC-4F49-8994-2DC76A34B1FF}"/>
                </a:ext>
                <a:ext uri="{147F2762-F138-4A5C-976F-8EAC2B608ADB}">
                  <a16:predDERef xmlns:a16="http://schemas.microsoft.com/office/drawing/2014/main" pred="{5F90903B-1080-ED44-9F5B-7CBF249FB437}"/>
                </a:ext>
              </a:extLst>
            </xdr14:cNvPr>
            <xdr14:cNvContentPartPr/>
          </xdr14:nvContentPartPr>
          <xdr14:nvPr macro=""/>
          <xdr14:xfrm>
            <a:off x="6189120" y="1146960"/>
            <a:ext cx="360" cy="9000"/>
          </xdr14:xfrm>
        </xdr:contentPart>
      </mc:Choice>
      <mc:Fallback xmlns="">
        <xdr:pic>
          <xdr:nvPicPr>
            <xdr:cNvPr id="22" name="Freihand 21">
              <a:extLst>
                <a:ext uri="{FF2B5EF4-FFF2-40B4-BE49-F238E27FC236}">
                  <a16:creationId xmlns:a16="http://schemas.microsoft.com/office/drawing/2014/main" id="{12A329C8-34BC-4F49-8994-2DC76A34B1FF}"/>
                </a:ext>
                <a:ext uri="{147F2762-F138-4A5C-976F-8EAC2B608ADB}">
                  <a16:predDERef xmlns:a16="http://schemas.microsoft.com/office/drawing/2014/main" pred="{5F90903B-1080-ED44-9F5B-7CBF249FB43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181560" y="1139400"/>
              <a:ext cx="1548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584580</xdr:colOff>
      <xdr:row>5</xdr:row>
      <xdr:rowOff>71633</xdr:rowOff>
    </xdr:from>
    <xdr:to>
      <xdr:col>10</xdr:col>
      <xdr:colOff>21280</xdr:colOff>
      <xdr:row>5</xdr:row>
      <xdr:rowOff>160913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3" name="Freihand 22">
              <a:extLst>
                <a:ext uri="{FF2B5EF4-FFF2-40B4-BE49-F238E27FC236}">
                  <a16:creationId xmlns:a16="http://schemas.microsoft.com/office/drawing/2014/main" id="{E9762AC0-1D8F-DC4F-B513-43697DF7748D}"/>
                </a:ext>
                <a:ext uri="{147F2762-F138-4A5C-976F-8EAC2B608ADB}">
                  <a16:predDERef xmlns:a16="http://schemas.microsoft.com/office/drawing/2014/main" pred="{12A329C8-34BC-4F49-8994-2DC76A34B1FF}"/>
                </a:ext>
              </a:extLst>
            </xdr14:cNvPr>
            <xdr14:cNvContentPartPr/>
          </xdr14:nvContentPartPr>
          <xdr14:nvPr macro=""/>
          <xdr14:xfrm>
            <a:off x="6261480" y="1108800"/>
            <a:ext cx="109800" cy="89280"/>
          </xdr14:xfrm>
        </xdr:contentPart>
      </mc:Choice>
      <mc:Fallback xmlns="">
        <xdr:pic>
          <xdr:nvPicPr>
            <xdr:cNvPr id="23" name="Freihand 22">
              <a:extLst>
                <a:ext uri="{FF2B5EF4-FFF2-40B4-BE49-F238E27FC236}">
                  <a16:creationId xmlns:a16="http://schemas.microsoft.com/office/drawing/2014/main" id="{E9762AC0-1D8F-DC4F-B513-43697DF7748D}"/>
                </a:ext>
                <a:ext uri="{147F2762-F138-4A5C-976F-8EAC2B608ADB}">
                  <a16:predDERef xmlns:a16="http://schemas.microsoft.com/office/drawing/2014/main" pred="{12A329C8-34BC-4F49-8994-2DC76A34B1FF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253920" y="1101240"/>
              <a:ext cx="12492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97093</xdr:colOff>
      <xdr:row>5</xdr:row>
      <xdr:rowOff>139673</xdr:rowOff>
    </xdr:from>
    <xdr:to>
      <xdr:col>10</xdr:col>
      <xdr:colOff>106093</xdr:colOff>
      <xdr:row>5</xdr:row>
      <xdr:rowOff>245873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4" name="Freihand 23">
              <a:extLst>
                <a:ext uri="{FF2B5EF4-FFF2-40B4-BE49-F238E27FC236}">
                  <a16:creationId xmlns:a16="http://schemas.microsoft.com/office/drawing/2014/main" id="{00D4C7DC-BA6A-D147-BD62-2E4CAFC20575}"/>
                </a:ext>
                <a:ext uri="{147F2762-F138-4A5C-976F-8EAC2B608ADB}">
                  <a16:predDERef xmlns:a16="http://schemas.microsoft.com/office/drawing/2014/main" pred="{E9762AC0-1D8F-DC4F-B513-43697DF7748D}"/>
                </a:ext>
              </a:extLst>
            </xdr14:cNvPr>
            <xdr14:cNvContentPartPr/>
          </xdr14:nvContentPartPr>
          <xdr14:nvPr macro=""/>
          <xdr14:xfrm>
            <a:off x="6404760" y="1176840"/>
            <a:ext cx="9000" cy="106200"/>
          </xdr14:xfrm>
        </xdr:contentPart>
      </mc:Choice>
      <mc:Fallback xmlns="">
        <xdr:pic>
          <xdr:nvPicPr>
            <xdr:cNvPr id="24" name="Freihand 23">
              <a:extLst>
                <a:ext uri="{FF2B5EF4-FFF2-40B4-BE49-F238E27FC236}">
                  <a16:creationId xmlns:a16="http://schemas.microsoft.com/office/drawing/2014/main" id="{00D4C7DC-BA6A-D147-BD62-2E4CAFC20575}"/>
                </a:ext>
                <a:ext uri="{147F2762-F138-4A5C-976F-8EAC2B608ADB}">
                  <a16:predDERef xmlns:a16="http://schemas.microsoft.com/office/drawing/2014/main" pred="{E9762AC0-1D8F-DC4F-B513-43697DF7748D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6397200" y="1169280"/>
              <a:ext cx="2376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147853</xdr:colOff>
      <xdr:row>5</xdr:row>
      <xdr:rowOff>67673</xdr:rowOff>
    </xdr:from>
    <xdr:to>
      <xdr:col>10</xdr:col>
      <xdr:colOff>237133</xdr:colOff>
      <xdr:row>5</xdr:row>
      <xdr:rowOff>178193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5" name="Freihand 24">
              <a:extLst>
                <a:ext uri="{FF2B5EF4-FFF2-40B4-BE49-F238E27FC236}">
                  <a16:creationId xmlns:a16="http://schemas.microsoft.com/office/drawing/2014/main" id="{ACD34E4C-3FAF-2047-9E9D-4D5C53AFBD73}"/>
                </a:ext>
                <a:ext uri="{147F2762-F138-4A5C-976F-8EAC2B608ADB}">
                  <a16:predDERef xmlns:a16="http://schemas.microsoft.com/office/drawing/2014/main" pred="{00D4C7DC-BA6A-D147-BD62-2E4CAFC20575}"/>
                </a:ext>
              </a:extLst>
            </xdr14:cNvPr>
            <xdr14:cNvContentPartPr/>
          </xdr14:nvContentPartPr>
          <xdr14:nvPr macro=""/>
          <xdr14:xfrm>
            <a:off x="6455520" y="1104840"/>
            <a:ext cx="89280" cy="110520"/>
          </xdr14:xfrm>
        </xdr:contentPart>
      </mc:Choice>
      <mc:Fallback xmlns="">
        <xdr:pic>
          <xdr:nvPicPr>
            <xdr:cNvPr id="25" name="Freihand 24">
              <a:extLst>
                <a:ext uri="{FF2B5EF4-FFF2-40B4-BE49-F238E27FC236}">
                  <a16:creationId xmlns:a16="http://schemas.microsoft.com/office/drawing/2014/main" id="{ACD34E4C-3FAF-2047-9E9D-4D5C53AFBD73}"/>
                </a:ext>
                <a:ext uri="{147F2762-F138-4A5C-976F-8EAC2B608ADB}">
                  <a16:predDERef xmlns:a16="http://schemas.microsoft.com/office/drawing/2014/main" pred="{00D4C7DC-BA6A-D147-BD62-2E4CAFC2057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6447960" y="1097280"/>
              <a:ext cx="10440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308773</xdr:colOff>
      <xdr:row>5</xdr:row>
      <xdr:rowOff>105833</xdr:rowOff>
    </xdr:from>
    <xdr:to>
      <xdr:col>10</xdr:col>
      <xdr:colOff>444493</xdr:colOff>
      <xdr:row>5</xdr:row>
      <xdr:rowOff>176393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6" name="Freihand 25">
              <a:extLst>
                <a:ext uri="{FF2B5EF4-FFF2-40B4-BE49-F238E27FC236}">
                  <a16:creationId xmlns:a16="http://schemas.microsoft.com/office/drawing/2014/main" id="{2AC964B7-555C-6C4C-83A0-9CEAE10F6045}"/>
                </a:ext>
                <a:ext uri="{147F2762-F138-4A5C-976F-8EAC2B608ADB}">
                  <a16:predDERef xmlns:a16="http://schemas.microsoft.com/office/drawing/2014/main" pred="{ACD34E4C-3FAF-2047-9E9D-4D5C53AFBD73}"/>
                </a:ext>
              </a:extLst>
            </xdr14:cNvPr>
            <xdr14:cNvContentPartPr/>
          </xdr14:nvContentPartPr>
          <xdr14:nvPr macro=""/>
          <xdr14:xfrm>
            <a:off x="6616440" y="1143000"/>
            <a:ext cx="135720" cy="70560"/>
          </xdr14:xfrm>
        </xdr:contentPart>
      </mc:Choice>
      <mc:Fallback xmlns="">
        <xdr:pic>
          <xdr:nvPicPr>
            <xdr:cNvPr id="26" name="Freihand 25">
              <a:extLst>
                <a:ext uri="{FF2B5EF4-FFF2-40B4-BE49-F238E27FC236}">
                  <a16:creationId xmlns:a16="http://schemas.microsoft.com/office/drawing/2014/main" id="{2AC964B7-555C-6C4C-83A0-9CEAE10F6045}"/>
                </a:ext>
                <a:ext uri="{147F2762-F138-4A5C-976F-8EAC2B608ADB}">
                  <a16:predDERef xmlns:a16="http://schemas.microsoft.com/office/drawing/2014/main" pred="{ACD34E4C-3FAF-2047-9E9D-4D5C53AFBD73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608880" y="1135440"/>
              <a:ext cx="150840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440173</xdr:colOff>
      <xdr:row>4</xdr:row>
      <xdr:rowOff>190233</xdr:rowOff>
    </xdr:from>
    <xdr:to>
      <xdr:col>10</xdr:col>
      <xdr:colOff>512533</xdr:colOff>
      <xdr:row>5</xdr:row>
      <xdr:rowOff>76313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7" name="Freihand 26">
              <a:extLst>
                <a:ext uri="{FF2B5EF4-FFF2-40B4-BE49-F238E27FC236}">
                  <a16:creationId xmlns:a16="http://schemas.microsoft.com/office/drawing/2014/main" id="{50DC8CCD-667F-EF46-8304-0CB865EB646F}"/>
                </a:ext>
                <a:ext uri="{147F2762-F138-4A5C-976F-8EAC2B608ADB}">
                  <a16:predDERef xmlns:a16="http://schemas.microsoft.com/office/drawing/2014/main" pred="{2AC964B7-555C-6C4C-83A0-9CEAE10F6045}"/>
                </a:ext>
              </a:extLst>
            </xdr14:cNvPr>
            <xdr14:cNvContentPartPr/>
          </xdr14:nvContentPartPr>
          <xdr14:nvPr macro=""/>
          <xdr14:xfrm>
            <a:off x="6747840" y="1024200"/>
            <a:ext cx="72360" cy="89280"/>
          </xdr14:xfrm>
        </xdr:contentPart>
      </mc:Choice>
      <mc:Fallback xmlns="">
        <xdr:pic>
          <xdr:nvPicPr>
            <xdr:cNvPr id="27" name="Freihand 26">
              <a:extLst>
                <a:ext uri="{FF2B5EF4-FFF2-40B4-BE49-F238E27FC236}">
                  <a16:creationId xmlns:a16="http://schemas.microsoft.com/office/drawing/2014/main" id="{50DC8CCD-667F-EF46-8304-0CB865EB646F}"/>
                </a:ext>
                <a:ext uri="{147F2762-F138-4A5C-976F-8EAC2B608ADB}">
                  <a16:predDERef xmlns:a16="http://schemas.microsoft.com/office/drawing/2014/main" pred="{2AC964B7-555C-6C4C-83A0-9CEAE10F604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6740280" y="1016640"/>
              <a:ext cx="8748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128867</xdr:colOff>
      <xdr:row>7</xdr:row>
      <xdr:rowOff>76193</xdr:rowOff>
    </xdr:from>
    <xdr:to>
      <xdr:col>8</xdr:col>
      <xdr:colOff>215627</xdr:colOff>
      <xdr:row>7</xdr:row>
      <xdr:rowOff>85193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28" name="Freihand 27">
              <a:extLst>
                <a:ext uri="{FF2B5EF4-FFF2-40B4-BE49-F238E27FC236}">
                  <a16:creationId xmlns:a16="http://schemas.microsoft.com/office/drawing/2014/main" id="{711FF6A4-0559-C648-8F13-778B2F87B455}"/>
                </a:ext>
                <a:ext uri="{147F2762-F138-4A5C-976F-8EAC2B608ADB}">
                  <a16:predDERef xmlns:a16="http://schemas.microsoft.com/office/drawing/2014/main" pred="{50DC8CCD-667F-EF46-8304-0CB865EB646F}"/>
                </a:ext>
              </a:extLst>
            </xdr14:cNvPr>
            <xdr14:cNvContentPartPr/>
          </xdr14:nvContentPartPr>
          <xdr14:nvPr macro=""/>
          <xdr14:xfrm>
            <a:off x="5175000" y="1494360"/>
            <a:ext cx="86760" cy="9000"/>
          </xdr14:xfrm>
        </xdr:contentPart>
      </mc:Choice>
      <mc:Fallback xmlns="">
        <xdr:pic>
          <xdr:nvPicPr>
            <xdr:cNvPr id="28" name="Freihand 27">
              <a:extLst>
                <a:ext uri="{FF2B5EF4-FFF2-40B4-BE49-F238E27FC236}">
                  <a16:creationId xmlns:a16="http://schemas.microsoft.com/office/drawing/2014/main" id="{711FF6A4-0559-C648-8F13-778B2F87B455}"/>
                </a:ext>
                <a:ext uri="{147F2762-F138-4A5C-976F-8EAC2B608ADB}">
                  <a16:predDERef xmlns:a16="http://schemas.microsoft.com/office/drawing/2014/main" pred="{50DC8CCD-667F-EF46-8304-0CB865EB646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167440" y="1486800"/>
              <a:ext cx="10188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109787</xdr:colOff>
      <xdr:row>7</xdr:row>
      <xdr:rowOff>126953</xdr:rowOff>
    </xdr:from>
    <xdr:to>
      <xdr:col>8</xdr:col>
      <xdr:colOff>211667</xdr:colOff>
      <xdr:row>7</xdr:row>
      <xdr:rowOff>135953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9" name="Freihand 28">
              <a:extLst>
                <a:ext uri="{FF2B5EF4-FFF2-40B4-BE49-F238E27FC236}">
                  <a16:creationId xmlns:a16="http://schemas.microsoft.com/office/drawing/2014/main" id="{C4CA8046-9828-6145-935D-241A16EB370B}"/>
                </a:ext>
                <a:ext uri="{147F2762-F138-4A5C-976F-8EAC2B608ADB}">
                  <a16:predDERef xmlns:a16="http://schemas.microsoft.com/office/drawing/2014/main" pred="{711FF6A4-0559-C648-8F13-778B2F87B455}"/>
                </a:ext>
              </a:extLst>
            </xdr14:cNvPr>
            <xdr14:cNvContentPartPr/>
          </xdr14:nvContentPartPr>
          <xdr14:nvPr macro=""/>
          <xdr14:xfrm>
            <a:off x="5155920" y="1545120"/>
            <a:ext cx="101880" cy="9000"/>
          </xdr14:xfrm>
        </xdr:contentPart>
      </mc:Choice>
      <mc:Fallback xmlns="">
        <xdr:pic>
          <xdr:nvPicPr>
            <xdr:cNvPr id="29" name="Freihand 28">
              <a:extLst>
                <a:ext uri="{FF2B5EF4-FFF2-40B4-BE49-F238E27FC236}">
                  <a16:creationId xmlns:a16="http://schemas.microsoft.com/office/drawing/2014/main" id="{C4CA8046-9828-6145-935D-241A16EB370B}"/>
                </a:ext>
                <a:ext uri="{147F2762-F138-4A5C-976F-8EAC2B608ADB}">
                  <a16:predDERef xmlns:a16="http://schemas.microsoft.com/office/drawing/2014/main" pred="{711FF6A4-0559-C648-8F13-778B2F87B455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148360" y="1537560"/>
              <a:ext cx="11700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334427</xdr:colOff>
      <xdr:row>7</xdr:row>
      <xdr:rowOff>38033</xdr:rowOff>
    </xdr:from>
    <xdr:to>
      <xdr:col>8</xdr:col>
      <xdr:colOff>457547</xdr:colOff>
      <xdr:row>7</xdr:row>
      <xdr:rowOff>178073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0" name="Freihand 29">
              <a:extLst>
                <a:ext uri="{FF2B5EF4-FFF2-40B4-BE49-F238E27FC236}">
                  <a16:creationId xmlns:a16="http://schemas.microsoft.com/office/drawing/2014/main" id="{B04FB20B-EFD0-EF4C-9514-0B4ED9EBA33F}"/>
                </a:ext>
                <a:ext uri="{147F2762-F138-4A5C-976F-8EAC2B608ADB}">
                  <a16:predDERef xmlns:a16="http://schemas.microsoft.com/office/drawing/2014/main" pred="{C4CA8046-9828-6145-935D-241A16EB370B}"/>
                </a:ext>
              </a:extLst>
            </xdr14:cNvPr>
            <xdr14:cNvContentPartPr/>
          </xdr14:nvContentPartPr>
          <xdr14:nvPr macro=""/>
          <xdr14:xfrm>
            <a:off x="5380560" y="1456200"/>
            <a:ext cx="123120" cy="140040"/>
          </xdr14:xfrm>
        </xdr:contentPart>
      </mc:Choice>
      <mc:Fallback xmlns="">
        <xdr:pic>
          <xdr:nvPicPr>
            <xdr:cNvPr id="30" name="Freihand 29">
              <a:extLst>
                <a:ext uri="{FF2B5EF4-FFF2-40B4-BE49-F238E27FC236}">
                  <a16:creationId xmlns:a16="http://schemas.microsoft.com/office/drawing/2014/main" id="{B04FB20B-EFD0-EF4C-9514-0B4ED9EBA33F}"/>
                </a:ext>
                <a:ext uri="{147F2762-F138-4A5C-976F-8EAC2B608ADB}">
                  <a16:predDERef xmlns:a16="http://schemas.microsoft.com/office/drawing/2014/main" pred="{C4CA8046-9828-6145-935D-241A16EB370B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373000" y="1448640"/>
              <a:ext cx="13824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520907</xdr:colOff>
      <xdr:row>7</xdr:row>
      <xdr:rowOff>126953</xdr:rowOff>
    </xdr:from>
    <xdr:to>
      <xdr:col>8</xdr:col>
      <xdr:colOff>529187</xdr:colOff>
      <xdr:row>8</xdr:row>
      <xdr:rowOff>32213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1" name="Freihand 30">
              <a:extLst>
                <a:ext uri="{FF2B5EF4-FFF2-40B4-BE49-F238E27FC236}">
                  <a16:creationId xmlns:a16="http://schemas.microsoft.com/office/drawing/2014/main" id="{1AD492CB-C2A9-8F4E-9E83-2E7C53120B5D}"/>
                </a:ext>
                <a:ext uri="{147F2762-F138-4A5C-976F-8EAC2B608ADB}">
                  <a16:predDERef xmlns:a16="http://schemas.microsoft.com/office/drawing/2014/main" pred="{B04FB20B-EFD0-EF4C-9514-0B4ED9EBA33F}"/>
                </a:ext>
              </a:extLst>
            </xdr14:cNvPr>
            <xdr14:cNvContentPartPr/>
          </xdr14:nvContentPartPr>
          <xdr14:nvPr macro=""/>
          <xdr14:xfrm>
            <a:off x="5567040" y="1545120"/>
            <a:ext cx="8280" cy="95760"/>
          </xdr14:xfrm>
        </xdr:contentPart>
      </mc:Choice>
      <mc:Fallback xmlns="">
        <xdr:pic>
          <xdr:nvPicPr>
            <xdr:cNvPr id="31" name="Freihand 30">
              <a:extLst>
                <a:ext uri="{FF2B5EF4-FFF2-40B4-BE49-F238E27FC236}">
                  <a16:creationId xmlns:a16="http://schemas.microsoft.com/office/drawing/2014/main" id="{1AD492CB-C2A9-8F4E-9E83-2E7C53120B5D}"/>
                </a:ext>
                <a:ext uri="{147F2762-F138-4A5C-976F-8EAC2B608ADB}">
                  <a16:predDERef xmlns:a16="http://schemas.microsoft.com/office/drawing/2014/main" pred="{B04FB20B-EFD0-EF4C-9514-0B4ED9EBA33F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559480" y="1537560"/>
              <a:ext cx="2340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575627</xdr:colOff>
      <xdr:row>7</xdr:row>
      <xdr:rowOff>41993</xdr:rowOff>
    </xdr:from>
    <xdr:to>
      <xdr:col>9</xdr:col>
      <xdr:colOff>13047</xdr:colOff>
      <xdr:row>7</xdr:row>
      <xdr:rowOff>152513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2" name="Freihand 31">
              <a:extLst>
                <a:ext uri="{FF2B5EF4-FFF2-40B4-BE49-F238E27FC236}">
                  <a16:creationId xmlns:a16="http://schemas.microsoft.com/office/drawing/2014/main" id="{7543E777-30C8-A844-B664-7B94233EB0C7}"/>
                </a:ext>
                <a:ext uri="{147F2762-F138-4A5C-976F-8EAC2B608ADB}">
                  <a16:predDERef xmlns:a16="http://schemas.microsoft.com/office/drawing/2014/main" pred="{1AD492CB-C2A9-8F4E-9E83-2E7C53120B5D}"/>
                </a:ext>
              </a:extLst>
            </xdr14:cNvPr>
            <xdr14:cNvContentPartPr/>
          </xdr14:nvContentPartPr>
          <xdr14:nvPr macro=""/>
          <xdr14:xfrm>
            <a:off x="5621760" y="1460160"/>
            <a:ext cx="110520" cy="110520"/>
          </xdr14:xfrm>
        </xdr:contentPart>
      </mc:Choice>
      <mc:Fallback xmlns="">
        <xdr:pic>
          <xdr:nvPicPr>
            <xdr:cNvPr id="32" name="Freihand 31">
              <a:extLst>
                <a:ext uri="{FF2B5EF4-FFF2-40B4-BE49-F238E27FC236}">
                  <a16:creationId xmlns:a16="http://schemas.microsoft.com/office/drawing/2014/main" id="{7543E777-30C8-A844-B664-7B94233EB0C7}"/>
                </a:ext>
                <a:ext uri="{147F2762-F138-4A5C-976F-8EAC2B608ADB}">
                  <a16:predDERef xmlns:a16="http://schemas.microsoft.com/office/drawing/2014/main" pred="{1AD492CB-C2A9-8F4E-9E83-2E7C53120B5D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614200" y="1452960"/>
              <a:ext cx="12564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101460</xdr:colOff>
      <xdr:row>7</xdr:row>
      <xdr:rowOff>54953</xdr:rowOff>
    </xdr:from>
    <xdr:to>
      <xdr:col>9</xdr:col>
      <xdr:colOff>190740</xdr:colOff>
      <xdr:row>7</xdr:row>
      <xdr:rowOff>161153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3" name="Freihand 32">
              <a:extLst>
                <a:ext uri="{FF2B5EF4-FFF2-40B4-BE49-F238E27FC236}">
                  <a16:creationId xmlns:a16="http://schemas.microsoft.com/office/drawing/2014/main" id="{8396EE12-8F0E-904A-8113-7DF1BEDA47A4}"/>
                </a:ext>
                <a:ext uri="{147F2762-F138-4A5C-976F-8EAC2B608ADB}">
                  <a16:predDERef xmlns:a16="http://schemas.microsoft.com/office/drawing/2014/main" pred="{7543E777-30C8-A844-B664-7B94233EB0C7}"/>
                </a:ext>
              </a:extLst>
            </xdr14:cNvPr>
            <xdr14:cNvContentPartPr/>
          </xdr14:nvContentPartPr>
          <xdr14:nvPr macro=""/>
          <xdr14:xfrm>
            <a:off x="5778360" y="1473120"/>
            <a:ext cx="89280" cy="106200"/>
          </xdr14:xfrm>
        </xdr:contentPart>
      </mc:Choice>
      <mc:Fallback xmlns="">
        <xdr:pic>
          <xdr:nvPicPr>
            <xdr:cNvPr id="33" name="Freihand 32">
              <a:extLst>
                <a:ext uri="{FF2B5EF4-FFF2-40B4-BE49-F238E27FC236}">
                  <a16:creationId xmlns:a16="http://schemas.microsoft.com/office/drawing/2014/main" id="{8396EE12-8F0E-904A-8113-7DF1BEDA47A4}"/>
                </a:ext>
                <a:ext uri="{147F2762-F138-4A5C-976F-8EAC2B608ADB}">
                  <a16:predDERef xmlns:a16="http://schemas.microsoft.com/office/drawing/2014/main" pred="{7543E777-30C8-A844-B664-7B94233EB0C7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770800" y="1465560"/>
              <a:ext cx="10440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114060</xdr:colOff>
      <xdr:row>7</xdr:row>
      <xdr:rowOff>50633</xdr:rowOff>
    </xdr:from>
    <xdr:to>
      <xdr:col>9</xdr:col>
      <xdr:colOff>211620</xdr:colOff>
      <xdr:row>7</xdr:row>
      <xdr:rowOff>55313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4" name="Freihand 33">
              <a:extLst>
                <a:ext uri="{FF2B5EF4-FFF2-40B4-BE49-F238E27FC236}">
                  <a16:creationId xmlns:a16="http://schemas.microsoft.com/office/drawing/2014/main" id="{63F4481F-C546-8342-901E-86DC8EEFFA8C}"/>
                </a:ext>
                <a:ext uri="{147F2762-F138-4A5C-976F-8EAC2B608ADB}">
                  <a16:predDERef xmlns:a16="http://schemas.microsoft.com/office/drawing/2014/main" pred="{8396EE12-8F0E-904A-8113-7DF1BEDA47A4}"/>
                </a:ext>
              </a:extLst>
            </xdr14:cNvPr>
            <xdr14:cNvContentPartPr/>
          </xdr14:nvContentPartPr>
          <xdr14:nvPr macro=""/>
          <xdr14:xfrm>
            <a:off x="5790960" y="1468800"/>
            <a:ext cx="97560" cy="4680"/>
          </xdr14:xfrm>
        </xdr:contentPart>
      </mc:Choice>
      <mc:Fallback xmlns="">
        <xdr:pic>
          <xdr:nvPicPr>
            <xdr:cNvPr id="34" name="Freihand 33">
              <a:extLst>
                <a:ext uri="{FF2B5EF4-FFF2-40B4-BE49-F238E27FC236}">
                  <a16:creationId xmlns:a16="http://schemas.microsoft.com/office/drawing/2014/main" id="{63F4481F-C546-8342-901E-86DC8EEFFA8C}"/>
                </a:ext>
                <a:ext uri="{147F2762-F138-4A5C-976F-8EAC2B608ADB}">
                  <a16:predDERef xmlns:a16="http://schemas.microsoft.com/office/drawing/2014/main" pred="{8396EE12-8F0E-904A-8113-7DF1BEDA47A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783400" y="1461240"/>
              <a:ext cx="11268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266700</xdr:colOff>
      <xdr:row>7</xdr:row>
      <xdr:rowOff>38033</xdr:rowOff>
    </xdr:from>
    <xdr:to>
      <xdr:col>9</xdr:col>
      <xdr:colOff>313500</xdr:colOff>
      <xdr:row>7</xdr:row>
      <xdr:rowOff>118673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5" name="Freihand 34">
              <a:extLst>
                <a:ext uri="{FF2B5EF4-FFF2-40B4-BE49-F238E27FC236}">
                  <a16:creationId xmlns:a16="http://schemas.microsoft.com/office/drawing/2014/main" id="{B6C665B2-1CCF-A04C-A552-6C24D04A2D20}"/>
                </a:ext>
                <a:ext uri="{147F2762-F138-4A5C-976F-8EAC2B608ADB}">
                  <a16:predDERef xmlns:a16="http://schemas.microsoft.com/office/drawing/2014/main" pred="{63F4481F-C546-8342-901E-86DC8EEFFA8C}"/>
                </a:ext>
              </a:extLst>
            </xdr14:cNvPr>
            <xdr14:cNvContentPartPr/>
          </xdr14:nvContentPartPr>
          <xdr14:nvPr macro=""/>
          <xdr14:xfrm>
            <a:off x="5943600" y="1456200"/>
            <a:ext cx="46800" cy="80640"/>
          </xdr14:xfrm>
        </xdr:contentPart>
      </mc:Choice>
      <mc:Fallback xmlns="">
        <xdr:pic>
          <xdr:nvPicPr>
            <xdr:cNvPr id="35" name="Freihand 34">
              <a:extLst>
                <a:ext uri="{FF2B5EF4-FFF2-40B4-BE49-F238E27FC236}">
                  <a16:creationId xmlns:a16="http://schemas.microsoft.com/office/drawing/2014/main" id="{B6C665B2-1CCF-A04C-A552-6C24D04A2D20}"/>
                </a:ext>
                <a:ext uri="{147F2762-F138-4A5C-976F-8EAC2B608ADB}">
                  <a16:predDERef xmlns:a16="http://schemas.microsoft.com/office/drawing/2014/main" pred="{63F4481F-C546-8342-901E-86DC8EEFFA8C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936040" y="1448640"/>
              <a:ext cx="6192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330060</xdr:colOff>
      <xdr:row>7</xdr:row>
      <xdr:rowOff>88793</xdr:rowOff>
    </xdr:from>
    <xdr:to>
      <xdr:col>9</xdr:col>
      <xdr:colOff>347340</xdr:colOff>
      <xdr:row>8</xdr:row>
      <xdr:rowOff>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6" name="Freihand 35">
              <a:extLst>
                <a:ext uri="{FF2B5EF4-FFF2-40B4-BE49-F238E27FC236}">
                  <a16:creationId xmlns:a16="http://schemas.microsoft.com/office/drawing/2014/main" id="{50A727A3-97F8-AC4B-A6C5-AA31D9DC0F2F}"/>
                </a:ext>
                <a:ext uri="{147F2762-F138-4A5C-976F-8EAC2B608ADB}">
                  <a16:predDERef xmlns:a16="http://schemas.microsoft.com/office/drawing/2014/main" pred="{B6C665B2-1CCF-A04C-A552-6C24D04A2D20}"/>
                </a:ext>
              </a:extLst>
            </xdr14:cNvPr>
            <xdr14:cNvContentPartPr/>
          </xdr14:nvContentPartPr>
          <xdr14:nvPr macro=""/>
          <xdr14:xfrm>
            <a:off x="6006960" y="1506960"/>
            <a:ext cx="17280" cy="101880"/>
          </xdr14:xfrm>
        </xdr:contentPart>
      </mc:Choice>
      <mc:Fallback xmlns="">
        <xdr:pic>
          <xdr:nvPicPr>
            <xdr:cNvPr id="36" name="Freihand 35">
              <a:extLst>
                <a:ext uri="{FF2B5EF4-FFF2-40B4-BE49-F238E27FC236}">
                  <a16:creationId xmlns:a16="http://schemas.microsoft.com/office/drawing/2014/main" id="{50A727A3-97F8-AC4B-A6C5-AA31D9DC0F2F}"/>
                </a:ext>
                <a:ext uri="{147F2762-F138-4A5C-976F-8EAC2B608ADB}">
                  <a16:predDERef xmlns:a16="http://schemas.microsoft.com/office/drawing/2014/main" pred="{B6C665B2-1CCF-A04C-A552-6C24D04A2D2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999400" y="1499400"/>
              <a:ext cx="3240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418980</xdr:colOff>
      <xdr:row>7</xdr:row>
      <xdr:rowOff>97073</xdr:rowOff>
    </xdr:from>
    <xdr:to>
      <xdr:col>9</xdr:col>
      <xdr:colOff>542100</xdr:colOff>
      <xdr:row>8</xdr:row>
      <xdr:rowOff>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7" name="Freihand 36">
              <a:extLst>
                <a:ext uri="{FF2B5EF4-FFF2-40B4-BE49-F238E27FC236}">
                  <a16:creationId xmlns:a16="http://schemas.microsoft.com/office/drawing/2014/main" id="{409BB5E0-C6C2-CB4E-ACBD-017AE7A1F48C}"/>
                </a:ext>
                <a:ext uri="{147F2762-F138-4A5C-976F-8EAC2B608ADB}">
                  <a16:predDERef xmlns:a16="http://schemas.microsoft.com/office/drawing/2014/main" pred="{50A727A3-97F8-AC4B-A6C5-AA31D9DC0F2F}"/>
                </a:ext>
              </a:extLst>
            </xdr14:cNvPr>
            <xdr14:cNvContentPartPr/>
          </xdr14:nvContentPartPr>
          <xdr14:nvPr macro=""/>
          <xdr14:xfrm>
            <a:off x="6095880" y="1515240"/>
            <a:ext cx="123120" cy="93600"/>
          </xdr14:xfrm>
        </xdr:contentPart>
      </mc:Choice>
      <mc:Fallback xmlns="">
        <xdr:pic>
          <xdr:nvPicPr>
            <xdr:cNvPr id="37" name="Freihand 36">
              <a:extLst>
                <a:ext uri="{FF2B5EF4-FFF2-40B4-BE49-F238E27FC236}">
                  <a16:creationId xmlns:a16="http://schemas.microsoft.com/office/drawing/2014/main" id="{409BB5E0-C6C2-CB4E-ACBD-017AE7A1F48C}"/>
                </a:ext>
                <a:ext uri="{147F2762-F138-4A5C-976F-8EAC2B608ADB}">
                  <a16:predDERef xmlns:a16="http://schemas.microsoft.com/office/drawing/2014/main" pred="{50A727A3-97F8-AC4B-A6C5-AA31D9DC0F2F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088320" y="1507680"/>
              <a:ext cx="13824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588180</xdr:colOff>
      <xdr:row>7</xdr:row>
      <xdr:rowOff>8153</xdr:rowOff>
    </xdr:from>
    <xdr:to>
      <xdr:col>9</xdr:col>
      <xdr:colOff>643620</xdr:colOff>
      <xdr:row>7</xdr:row>
      <xdr:rowOff>80513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38" name="Freihand 37">
              <a:extLst>
                <a:ext uri="{FF2B5EF4-FFF2-40B4-BE49-F238E27FC236}">
                  <a16:creationId xmlns:a16="http://schemas.microsoft.com/office/drawing/2014/main" id="{126346BF-2C44-5B43-9630-A80F83A6467C}"/>
                </a:ext>
                <a:ext uri="{147F2762-F138-4A5C-976F-8EAC2B608ADB}">
                  <a16:predDERef xmlns:a16="http://schemas.microsoft.com/office/drawing/2014/main" pred="{409BB5E0-C6C2-CB4E-ACBD-017AE7A1F48C}"/>
                </a:ext>
              </a:extLst>
            </xdr14:cNvPr>
            <xdr14:cNvContentPartPr/>
          </xdr14:nvContentPartPr>
          <xdr14:nvPr macro=""/>
          <xdr14:xfrm>
            <a:off x="6265080" y="1426320"/>
            <a:ext cx="55440" cy="72360"/>
          </xdr14:xfrm>
        </xdr:contentPart>
      </mc:Choice>
      <mc:Fallback xmlns="">
        <xdr:pic>
          <xdr:nvPicPr>
            <xdr:cNvPr id="38" name="Freihand 37">
              <a:extLst>
                <a:ext uri="{FF2B5EF4-FFF2-40B4-BE49-F238E27FC236}">
                  <a16:creationId xmlns:a16="http://schemas.microsoft.com/office/drawing/2014/main" id="{126346BF-2C44-5B43-9630-A80F83A6467C}"/>
                </a:ext>
                <a:ext uri="{147F2762-F138-4A5C-976F-8EAC2B608ADB}">
                  <a16:predDERef xmlns:a16="http://schemas.microsoft.com/office/drawing/2014/main" pred="{409BB5E0-C6C2-CB4E-ACBD-017AE7A1F48C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257520" y="1418760"/>
              <a:ext cx="70560" cy="8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3.636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12 7905,'0'-6'1978,"0"1"-1820,0 5 0,0 1 1,0 3-1,0 4-183,0 2 1,0 2-1,0 0 1,0 1 113,0 2 1,0 0-1,0 4 1,1 1-7,3-2 0,-1 4 0,5-2 1,-1 2-78,0 2 1,3-2 0,-3-1-1,1-3 2,0-1 1,-2 3 0,3-5 0,-2 0 1,-2-2 1,4-1-49,-1-1-2,3-4 1,-1-3-1,-2-8 1,-3-4 22,0-2 0,-2-6 0,3-1 0,1 0 9,-1 0 0,-3-3 1,2 3-1,-1 0 2,0 0 1,1-2 0,-2 2-1,1 0-1,-1 0 1,-1 1-1,1 4 1,1 1-16,-2-1 0,0 0 0,-1 0 1,2 1-141,0-1 0,1 4 1,-4 0-441,0-1-713,0-1-119,0 3 1434,0 2 0,0 5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3.97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0 7864,'0'12'45,"0"-4"0,0 0 0,0 1 454,0 1 0,0 2-351,0 0 0,4 3 0,-1 2-329,0 2 0,-2-5 0,-1 2 0,0-3-190,0-1 0,0-1 1,0 1-218,0 0 1,2-4 587,2-1 0,-3-4 0,4 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4.358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24 24 7699,'-6'-1'312,"3"-1"-243,6-2 1,-1 0 0,6 4 0,0-2-216,-1-2 1,3 3-1,-2-3 1,2 3 90,2 1 0,0 0 0,0 0 0,-1 1 74,1 3 1,0 3 0,-2 4 13,-2 1 0,-2 4 1,-6 0-1,0-1-11,0 2 0,0-2 1,0 3-1,0-1-16,0-3 1,-4-1 0,-2-1-1,0-1 5,-3-4 0,-2 2 0,-1-3-20,1 0 0,-1-3 1,0 1-1,0-3 8,1-1 1,-1 0 0,0 0-46,0 0 0,2-5-256,2-3 302,3-2 0,5-2 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4.687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1 130 8190,'0'-12'540,"0"4"1,0 0-301,0-1 1,0-1-1,0-2-174,0 0 0,0 0 1,1 2-115,3 2 1,-1-1-1,5 4-416,1-2 1,-3 4 0,2 0 463,1 1 0,7 2 0,2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5.055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0 47 7138,'4'-8'145,"0"1"0,5 4 0,-1-2-125,3 0 0,0 3 0,1-3 1,0 1-64,0 0 0,-1 0 0,1 4 58,0 0 0,-4 2 1,-2 1 16,-1 5 1,3 3 0,-4 1 0,-1-1-14,-2 1 0,-5 0 0,-1 0 0,0-1 1,0 1 0,-5-4 0,3 0 1,-4 0-56,-1-2 1,1 3-1,-1-5-127,0-1 1,0-2-74,1-1 0,0-1 0,3-3-259,4-4 494,3-2 0,1-2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5.515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1 7947,'0'11'-61,"0"1"1,0 0 0,0 0 0,0 1 126,0 2 1,0-2 0,0 4 0,0 0 5,0 3 0,0-3 0,0-1 0,0-3-42,0-1 0,0-1 1,0 1-52,0 0-77,0 0-4,5-6 0,2-2 24,4-8 0,-3 1 0,-1-4-197,-2-2 1,4-2 262,-1-1 0,-1 6 1,0 2 184,3 3 1,-4 1 0,1 1 0,-2 3 0,0-2 0,-2 6 1,2 1-101,1 2 1,-3 1 0,1-1 0,-3 1-163,-1 0 1,0-4-1,0 0 1,2 1-532,1 1 1,-1 2 618,2 0 0,-3-1 0,-1 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6.00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1 106 7736,'0'-11'54,"0"-1"1,0 0-128,0 0 1,0 4-1,1 1 126,3-2 0,-3 2 0,5 0-40,-1 2 0,-3 0-5,6 1 0,0 3 56,4-3 0,-4 4 0,-2 4 21,-1 4 1,1-2 0,-4 2-40,2 1 1,4 2-1,-3 0-47,2 1 1,-3-4 0,4-2-70,1 0 1,-3-2-1,2-6 1,1 0-132,2-2 0,0-5 0,1 2 0,-1-1 60,-4 0 1,4 1-1,-5-5-11,1 0 1,-2 4 511,-5 0-177,0 6 1,-1-3 0,-2 6 115,-1 3 0,-1 2 0,3 6-156,-2 0 1,0 0 0,4-1 0,0 1-41,0 0 1,5 0 0,3-1-1,2 0-92,2-3 0,0 1 1,1-4-1,1 0-412,2 0 1,0 3 0,-5-4-1,1-1 401,0-2 0,0-1 0,-1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6.536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247 0 7767,'-12'0'-726,"0"0"1073,1 0 0,-1 0 0,-1 0 1,-2 2-299,0 2 0,-1-3 0,4 3 0,1-1-54,-1 0 0,-4-1 0,0 2 1,2-3-255,1-1 0,1 1 0,1 2 259,-1 1 0,5 5 0,2-3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06.83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224 1 8062,'-5'6'138,"-3"-2"0,-3-1 49,0 1 1,-1-3-1,0 3 1,0-3-145,1-1 1,-1 0 0,0 0-1,0 0-198,1 0 0,-1 0 0,0 0 0,0 1-333,1 3 0,-1-2-203,0 1 1,4-1 690,0-2 0,6 0 0,-3 5 0,5 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0.211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106 92 7885,'-7'0'225,"1"0"87,2 0 1,3-1-149,-3-3 0,3 2 1,1-6-15,0-1 1,0 2 0,1 1-116,3 0 1,-2-2 0,5 3 0,-1 0-27,1 0 1,1-3 0,4 4-1,-1 1 1,1-2-1,0 1 1,0 3-12,-1 4 0,1 3 1,0 6-1,-2 0 4,-2-1 0,3 1 0,-5 0 0,1 0 12,-3-1 1,-3 1 0,-1 1 0,0 2-35,0 0 1,-4 1 0,-1-4 0,-2 0 5,-2-1 0,-1 1 0,-2 0 0,0-2 62,0-2 1,1 1 0,-1-5-1,0-1 60,0-2 0,-1-1 0,-1 0 1,-2 0-36,2 0 0,1-4 1,1-1-1,0 0-137,0-1 0,2-3 0,1 1-25,1-2 1,5-2-1,-1 1-638,3-1 0,2 1 0,3 2-182,4 1 0,-1 6 909,1-2 0,5-3 0,5 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0.456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12 1 7832,'0'19'0,"0"-1"0,0-1 221,0-2 0,0-1 0,0 2 0,0 3 371,0 4 1,0-4 0,-1 1-1,-1 0-472,-2-2 0,0-1 0,4-5-1170,0-1 365,0 1-695,0-5 858,0-2 0,0-6 522,0-3 0,5-3 0,1-5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0.771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0 0 9716,'0'12'358,"0"0"1,0-1-1,0 1 1,0 0-232,0 0 1,0-4 0,0-1-143,0 3 1,1 0 0,3 0 102,4-2 1,3-2 0,0-6 0,1 0-754,0 0 0,0 0 665,-1 0 0,1 0 0,0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0.95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36 0 7917,'0'12'371,"0"0"0,0-1 33,0 1 0,-4 1 0,0 2 0,2 0-201,1 0 0,-1 2 1,0-2-1,-2 1-249,1 1 1,2-4 0,1 3 0,-2-4-2371,-1-5 774,1 4 1642,-3-5 0,10 1 0,2-2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1.402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59 1 7650,'0'11'921,"0"1"0,-1 0-776,-3 0 0,3-1-175,-3 1 1,4-4 0,4-1-68,4-2 1,2 0 0,2-2 0,0 1-13,-1-2 0,1 3 0,0 1 0,0-1 70,-1 0 1,0 4 0,-2-1 0,-2 3 77,-2 0 0,-1 1 1,-4 0-30,0 0 1,-4-1 0,-1 0 49,-2-3 1,-1 1 0,-4-4 0,1 0 0,-1 0-53,0-2 0,0 2 0,1-1-101,-1-1 0,0-2 0,0-2-206,1-3 0,0 1 1,2-3-1,2-1-1020,2 1 1319,1 3 0,-1-7 0,-1 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1.631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271 0 7962,'-12'0'60,"1"0"1,-1 0 0,0 0 339,0 0 0,1 0 0,-3 0 0,0 0-211,-2 0 1,-3 0-1,2 0 1,0 0-484,0 0 0,1 0 0,4 0 0,1 0-673,-1 0 0,4 0 967,0 0 0,0 6 0,-3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1.918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1 8806,'0'11'0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2.46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36 118 7870,'-12'0'-204,"6"-5"1,2-3 192,2-3 0,2 3 1,2 1-1,2-3-5,3 0 1,5-2-1,2 2 74,2 2 1,0-1 0,-4 5 0,-1 0-8,1-1 1,4 3 0,-1-2 0,0 3 2,-2 1 1,0 1 0,0 3 0,0 3-10,-2-1 0,-4 5 1,3-3-1,-4 4-42,-1 3 1,-1-2-1,-4 4 1,-1 0-177,-3 3 1,1-2 0,-4 0-1,-3-1 102,0-2 0,-2 2 0,-1-2 0,-1 0 67,-2-2 0,-4-3 0,4-2 0,-1-4 84,0-3 1,0-1 0,2 0 0,-1 0 22,2 0 1,2-5 0,3-3 0,3-3-158,0-5 2,3 3 0,3-5-59,0 2 1,0 3 0,0-3 0,1 3 0,1 1-1004,2 1 1114,6-1 0,1 0 0,8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2.716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36 0 8009,'0'16'63,"0"0"0,0 1 0,0-3 0,0 2 429,0-2 0,-4 4 0,0 1 0,0 0-443,-1 1 0,3-6 1,-3 2-1,1-3-376,0-1 0,0-4-1073,4-1 280,0-4 1120,0 2 0,6-10 0,0-1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3.008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11 7989,'1'-7'356,"3"3"1,-3 4-104,3 4 0,-3 3 1,-1 5-1,0-1 0,0 1 0,0 0 1,0 0-1,0-1-109,0 1 1,0-4 0,0 0 0,0 1-205,0 2 1,4-4-1,2 1 1,0 0-260,3-1 1,2-2 0,1-5 0,-1 0-259,1 0 0,4 0 1,-1 0-1,0-2 577,-2-1 0,4-4 0,1-5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3.192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12 1 8009,'0'11'176,"0"1"325,0 0 0,0 0 0,0 0-326,0-1 0,0 5 1,0 1-1,-1 0 0,-2 1-40,-1 1 0,0-4 0,4 3 1,0-1-946,0-2 0,0-1 1,0 1 809,0 0 0,6 1 0,0-4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3.432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0 1 8078,'0'8'3053,"0"-1"-4066,0-4-1434,0 2 2447,0-5 0,0 0 0,0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3.95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105 95 7627,'-7'-5'-152,"2"-2"241,5-5 0,0 1 1,1 0-1,2 2-2,1 1 0,5 4 0,-1-2 0,2-1-27,2 1 0,-3 3 0,2-1 1,2 3-107,0 1 0,0 0 1,-1 0-1,1 0 93,2 0 0,-2 1 1,3 2-50,-3 1 1,-5 5 0,-1-1 0,-2 2-45,-3 2 1,0 1 0,-2 1-1,0 2 1,0 0 3,0 1 1,-6-4 0,-1 4-24,-4 0 0,-2-4 0,-1 3 0,-2-3 151,2-2 1,1-3 0,1-1 0,-1-2 72,-3-2 0,3-2 0,-4-1 0,1 0-68,1 0 1,-2-1 0,2-3 0,0-4-106,0-3 1,2 0 0,3-1 0,1 0-255,1 0 0,5 1-398,-1-1 1,4 0 356,4 0 1,3 1-236,4-1 544,6 5 0,2-3 0,4 3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4.20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24 0 8119,'0'22'0,"0"-1"0,0-3 155,0-1 1,0 4 0,0-1-1,0 2 265,0 2 0,-1-2 0,-2-1 0,-1-3-492,2-1 0,-1-1 0,1-4-1602,-2-1 233,0-4 1441,4-2 0,5-10 0,2-2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4.75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60 24 8155,'0'-7'675,"1"1"-538,3 2 0,2 2-85,6-2 1,0 3 0,0 2 11,-1 3 1,-3-2-1,-1 3-151,-2 0 0,-1-2 0,-4 5 16,0 1 0,0 1 1,-1 2 29,-3 0 1,2-4 0,-3-2-11,0-1 1,4 1-416,-3-3 427,2-1 1,4 3 62,2-5 1,2 1 0,6 2 0,0 1-15,0-2 1,-1 4-1,1-1 1,0 1 31,0 4 0,-5 0 0,0 2 1,-1 0-6,1-1 0,-4 1 0,1 0-14,-3 0 1,-1-1 0,-1 1 0,-2 0 17,-1 0 0,-5-5 0,1 0 0,-2-2-35,-2-2 0,0 2 1,0-1-1,-1-1-3,-2-2 1,1-1-1,-3 0 1,2-1-103,-1-3 0,0 1 0,5-3 0,-1-1-1493,0 0 1592,0 0 0,1-5 0,-1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5.450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36 129 7684,'0'7'733,"-1"-2"-524,-3-5 0,1 0 0,-3-1-174,0-3 0,2 1 1,4-5-1,-1 1-110,-3 0 1,3-3 0,-3 2 64,3-3 1,5 0 0,1 0 0,0 2-44,0 1 1,4 2-1,-1-4 18,3 3 1,1 0-1,-1-1 32,1 4 0,-4 3 0,0 1 14,1 0 0,1 1-9,2 3 1,-5-1-1,-3 5 1,-3 1-68,-1 1 0,0 2 0,0 0 34,0 0 0,0-1 0,0 1 0,1-1-12,3-4 26,-3 4 0,6-10 10,-3 3 1,1-8-1,4-4 1,-2-2-24,-2-2 1,3 0-1,-3 1 1,0-1-26,0 0 0,5 0 0,-3 1 57,4-1 1,-3 5 0,0 3 119,1 3 0,1 1 1,2 0-1,0 1 16,-1 3 1,-3 3-1,0 5 1,0-1 122,-1 1 0,-2 0 0,-4 1 0,2 1-292,1 2 0,0 4 1,-4-5-1,0 0-88,0-2 0,0-2-1458,0 1-332,5-5 1909,-4-7 0,9-7 0,-3-5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6.02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0 24 8063,'0'-6'36,"0"-5"0,5 10 1,3-3 77,3 3 1,1 1-1,-1 0 1,1 0-142,0 0 0,-2 1 0,-1 2 0,-2 2 1,-2 1-3,-2 4 0,-2 0 78,-1 2-48,-5 0 0,-2-1 0,-3 1-40,2 0 0,-2-6 0,3 0-21,1-1 1,0-3 123,6 6 0,2-5 1,2 1-1,5-3 69,5-1 0,-1 1 0,4 2 253,0 1-349,-4 0 0,4 0 43,-5 0 1,-2 5 0,-1-3 0,-2 2 5,-2 0 0,-1 0 0,-4 4 0,-1-2-28,-3-2 0,-1-2 0,-4-3-25,1 1 1,0 0 0,-4-4 0,0 0-83,1 0 0,3 0 0,0 0 0,-1 0-259,-2 0 0,0 0 0,-1 0-258,0 0 1,0 0 565,1 0 0,-1 5 0,0 2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7.376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230 0 7540,'7'0'2331,"-4"0"-1963,-6 0-74,-4 0-58,-5 0-167,0 0 1,1 0-1,-1 0 1,0 1 0,-1 2-1,-1 1-53,-2-2 1,0 0-1,3-2 1,-1 0-374,-2 0 1,1 0-1,3 0-550,0 0 1,0 0-938,1 0 1844,4 0 0,7 5 0,7 2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17.62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283 0 8096,'0'7'1547,"-5"-2"-1312,-2-5-99,-5 0 1,1 0 0,-1 0 0,-1 0 0,-1 0-1,-2 0-7,1 0 1,-2 0 0,1 0 0,-1 0-366,0 0 0,0 0 1,2 0-1,-1 0-1037,2 0 0,1 0 1273,1 0 0,1 5 0,-1 2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29.23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82 188 7821,'-6'0'28,"-3"-1"0,3-2 0,1-2 202,0-1 1,1 2 0,4-4 28,0-1-215,0-2 1,0 3 0,0 1-20,0-3 1,0 4 0,0-2 0,0-1 0,1 0 123,3 1 0,-1-2 1,5 2-104,1-3 1,1 1 0,2 2 0,-1 3-54,-4-1 1,8 5-1,-3-4 1,1 1-37,0 0 1,2 0-1,2 5 1,0 2 11,0 1 1,3 5-1,-3-1 1,0 2 2,0 2 0,-3 1 1,-5 3-1,-2 4 2,-2 2 1,-1 1 0,-4 2 0,-1 1-103,-3 2 1,1-1 0,-5-3 0,-1-2 71,-1-3 0,-6-2 0,0-5 0,1 0 85,-2 0 0,4-4 0,-4-2 0,1-1-3,0-2 0,-3-2 0,3-2 0,2-3 207,1-4 0,-3-2 0,0-2 0,2 0-27,1 0 1,1 1 0,2-1-1,0 0-307,3 0 1,3 1 0,-3-1 0,2 0-309,2 0 1,2 1-1,1-1 1,1 0-191,3 0 0,3 4 0,5 1 599,-1-2 0,1-2 0,0-1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29.461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11 0 7837,'0'17'-8,"0"0"0,0 4 1,0-1-1,0 1 1065,0 1-418,0 1-445,0 1 1,0-5 0,-1 0-489,-3-2 1,3-2-844,-3-3 1,4-1 1136,4-4 0,2-7 0,6-6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29.953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83 72 7938,'-7'-6'596,"3"-2"1,3 2 0,2-2-615,3-1 0,-1 2 0,5 1 0,1-1-24,1 1 1,2 3-1,0-1 1,-1 3 17,1 1 0,4 0 0,1 0 1,0 0 17,0 0 0,2 4 0,-3 1 0,-2 2-2,0 2 1,-7 5 0,0 2 0,-2 0-52,-2 0 0,-2 3 0,-1 3 1,0-1-66,0-2 0,-4 1 0,-1 2 0,-2-2 0,-3-4-74,-4-3 0,-1-2 192,-4 1 1,3-1 0,-2-4 0,-1-3 0,1-2-38,-3-2 1,3 0-1,0-2 1,1-2 278,2-3 1,2-4-1,1-2 1,1-1-168,-1-2 0,4 0 0,1 5 1,2-1-343,3 0 0,0 0 1,2 1-1,2-1 4,2 0 1,-2 0 0,7 2 268,4 2 0,-1-2 0,5 3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30.327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36 0 7969,'6'2'785,"-2"1"0,-3 4-707,-1 5 0,0 0-130,0-1 1,2 0 0,2-2 59,3-1 1,8-2 0,1 3 0,-2-2-25,-1-2 1,3 3 0,-1-3 0,1 2 17,1 2 1,-4 0 0,1 0 0,-3-1-38,-3 1 0,-6 2 0,4 0 1,-3 1-42,1 0 1,0-4 0,-5 0 0,-3 1-39,-4 1 0,-2-2 1,-2-1-1,0-1 18,1 1 1,-5-5 0,-1 3-1,0-1-38,0 0 1,0 0 0,3-4 0,-2 0-73,1 0 0,2-4 1,3-1-1,1 0-262,1 0 1,4-5 467,-4 3 0,6-4 0,-4-1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30.53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271 0 7934,'-12'0'205,"-1"0"0,-2 0 0,-4 0-56,1 0 1,-3 0 0,4 0 0,0 0-112,0 0 0,-2 0 0,2 0 0,0 0-383,0 0 1,1 0-1,5 2 345,4 2 0,-4-3 0,5 4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30.802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24 0 7983,'0'12'133,"-4"0"1,0-1 443,1 1-296,-3 0-56,4 0 0,-3 0-140,5 4 0,0-2 0,0 1 0,0-2 71,0-1 0,0 0 0,0 0 1,1-2-390,3-2 0,3 1 0,5-4 0,-1 0-283,1 1 0,0-2 0,1-4 0,1-2 516,2-2 0,0-2 0,-5-6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30.965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0 0 8053,'0'12'0,"0"0"369,0 0 0,0-1 1,0 1-103,0 0-42,0 0 0,0 5-116,0-4 1,0 8 0,0-4 0,0 0-1,0 1 1,0-1-579,0 0 1,0-2-1,0-3-460,0 0 0,6-5 929,1-4 0,9 4 0,2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31.529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12 212 7992,'0'7'886,"0"-3"-634,0-8 0,-1 1 1,-2-4-1,-1-3-155,2 0 0,0-2 1,2 0-1,0 1-124,0-1 1,0-1-1,0-2 1,0 0-94,0 0 0,4 2 0,1 2 0,2-1 26,2 0 0,-2 4 0,1 2 1,1-1 13,1 1 1,-2 3-1,0-1 1,1 3 97,1 1 1,-2 1 0,0 2 0,0 2 18,-2 1 0,4 2 0,-6 4 0,-2 1-26,-1 3 0,-1-3 0,0 3-497,0-3 85,0-2 212,0-4 106,0-2 1,6-6 0,0-3 0,2-3 0,-1 0 0,-1-1 0,1-1 34,2-2 0,-3 1 1,1 1 121,-2 1 0,4 4 0,-1-3 144,3 2 0,0 1 0,1 4 0,0 1-5,0 3 0,-5 3 0,0 6 0,-2 1 24,-2 2 0,2 4 0,-1-3 0,-1 0-114,-2 0 1,-1 0 0,0-3-606,0 2 1,4-1-1584,0-3 513,0 0 1552,1-6 0,-4 0 0,4-6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31T09:29:32.068"/>
    </inkml:context>
    <inkml:brush xml:id="br0">
      <inkml:brushProperty name="width" value="0.04286" units="cm"/>
      <inkml:brushProperty name="height" value="0.04286" units="cm"/>
    </inkml:brush>
  </inkml:definitions>
  <inkml:trace contextRef="#ctx0" brushRef="#br0">1 48 8231,'0'-12'1103,"1"2"-1223,3 2 115,2 3 0,5 3 0,-2 0 0,-1-2 46,1 1 0,2 2 0,0 1 0,0 1-45,-3 3 0,-3-1 1,-5 5-16,0 1 1,0 1 0,0 2 0,-2 0 20,-1-1 1,0-3-1,-5 0-162,-1 1-21,-1-4 0,-1 2 29,3-3 1,8-3 150,8 3 1,3-1 0,0-1 35,1 2 1,0 0-1,0-4 1,-1 2-28,1 1 1,-1 0 0,-4 5 224,-3 1 1,-2-2-1,-4-1-99,-2-1 0,-2 3 0,-6-4 1,0 0-66,1 1 0,3-3 1,0 1-1,-1-1-183,-2-2 1,0 0 0,-1 0-286,0 0 1,4-2 398,0-1 0,0 1 0,-3-3 0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14" workbookViewId="0">
      <selection activeCell="B34" sqref="B34"/>
    </sheetView>
  </sheetViews>
  <sheetFormatPr baseColWidth="10" defaultColWidth="8.83203125" defaultRowHeight="15" x14ac:dyDescent="0.2"/>
  <cols>
    <col min="1" max="1" width="14.1640625" customWidth="1"/>
    <col min="4" max="4" width="14" bestFit="1" customWidth="1"/>
  </cols>
  <sheetData>
    <row r="1" spans="1:7" x14ac:dyDescent="0.2">
      <c r="A1" s="2"/>
      <c r="B1" s="2"/>
      <c r="C1" s="2"/>
      <c r="D1" s="2"/>
      <c r="E1" s="2"/>
      <c r="F1" s="2"/>
      <c r="G1" s="2"/>
    </row>
    <row r="2" spans="1:7" ht="16" x14ac:dyDescent="0.2">
      <c r="A2" s="2"/>
      <c r="B2" s="2"/>
      <c r="C2" s="2"/>
      <c r="D2" s="2" t="s">
        <v>7</v>
      </c>
      <c r="E2" s="2">
        <v>9.81</v>
      </c>
      <c r="F2" s="2" t="s">
        <v>6</v>
      </c>
      <c r="G2" s="2"/>
    </row>
    <row r="3" spans="1:7" ht="32" x14ac:dyDescent="0.2">
      <c r="A3" s="2"/>
      <c r="B3" s="2"/>
      <c r="C3" s="2"/>
      <c r="D3" s="2" t="s">
        <v>22</v>
      </c>
      <c r="E3" s="2">
        <v>2</v>
      </c>
      <c r="F3" s="2" t="s">
        <v>14</v>
      </c>
      <c r="G3" s="2"/>
    </row>
    <row r="4" spans="1:7" ht="22" thickBot="1" x14ac:dyDescent="0.3">
      <c r="A4" s="3" t="s">
        <v>0</v>
      </c>
      <c r="B4" s="2"/>
      <c r="C4" s="2"/>
      <c r="D4" s="2"/>
      <c r="E4" s="2"/>
      <c r="F4" s="2"/>
      <c r="G4" s="2"/>
    </row>
    <row r="5" spans="1:7" ht="16" thickTop="1" x14ac:dyDescent="0.2">
      <c r="A5" s="2"/>
      <c r="B5" s="2"/>
      <c r="C5" s="2"/>
      <c r="D5" s="2"/>
      <c r="E5" s="2"/>
      <c r="F5" s="2"/>
      <c r="G5" s="2"/>
    </row>
    <row r="6" spans="1:7" ht="37" thickBot="1" x14ac:dyDescent="0.25">
      <c r="A6" s="1" t="s">
        <v>8</v>
      </c>
      <c r="B6" s="2">
        <f>(E6*E7*E2)</f>
        <v>529.74</v>
      </c>
      <c r="C6" s="2" t="s">
        <v>12</v>
      </c>
      <c r="D6" s="2" t="s">
        <v>1</v>
      </c>
      <c r="E6" s="2">
        <v>1000</v>
      </c>
      <c r="F6" s="2" t="s">
        <v>2</v>
      </c>
      <c r="G6" s="2"/>
    </row>
    <row r="7" spans="1:7" ht="17" thickTop="1" x14ac:dyDescent="0.2">
      <c r="A7" s="2" t="s">
        <v>5</v>
      </c>
      <c r="B7" s="2"/>
      <c r="C7" s="2"/>
      <c r="D7" s="2" t="s">
        <v>3</v>
      </c>
      <c r="E7" s="2">
        <v>5.3999999999999999E-2</v>
      </c>
      <c r="F7" s="2" t="s">
        <v>4</v>
      </c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  <row r="10" spans="1:7" ht="65" thickBot="1" x14ac:dyDescent="0.25">
      <c r="A10" s="1" t="s">
        <v>9</v>
      </c>
      <c r="B10" s="2">
        <f>E10*E2</f>
        <v>490.5</v>
      </c>
      <c r="C10" s="2" t="s">
        <v>12</v>
      </c>
      <c r="D10" s="2" t="s">
        <v>21</v>
      </c>
      <c r="E10" s="2">
        <v>50</v>
      </c>
      <c r="F10" s="2" t="s">
        <v>11</v>
      </c>
      <c r="G10" s="2"/>
    </row>
    <row r="11" spans="1:7" ht="17" thickTop="1" x14ac:dyDescent="0.2">
      <c r="A11" s="2" t="s">
        <v>10</v>
      </c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x14ac:dyDescent="0.2">
      <c r="A13" s="2"/>
      <c r="B13" s="2"/>
      <c r="C13" s="2"/>
      <c r="D13" s="2"/>
      <c r="E13" s="2"/>
      <c r="F13" s="2"/>
      <c r="G13" s="2"/>
    </row>
    <row r="14" spans="1:7" ht="37" thickBot="1" x14ac:dyDescent="0.25">
      <c r="A14" s="1" t="s">
        <v>18</v>
      </c>
      <c r="B14" s="2">
        <f>E14*E15*0.5*E6*E3^2</f>
        <v>468</v>
      </c>
      <c r="C14" s="2"/>
      <c r="D14" s="2" t="s">
        <v>13</v>
      </c>
      <c r="E14" s="2">
        <v>1.3</v>
      </c>
      <c r="F14" s="2"/>
      <c r="G14" s="2"/>
    </row>
    <row r="15" spans="1:7" ht="33" thickTop="1" x14ac:dyDescent="0.2">
      <c r="A15" s="2" t="s">
        <v>36</v>
      </c>
      <c r="B15" s="2"/>
      <c r="C15" s="2"/>
      <c r="D15" s="2" t="s">
        <v>15</v>
      </c>
      <c r="E15" s="2">
        <v>0.18</v>
      </c>
      <c r="F15" s="2" t="s">
        <v>16</v>
      </c>
      <c r="G15" s="2" t="s">
        <v>17</v>
      </c>
    </row>
    <row r="16" spans="1:7" x14ac:dyDescent="0.2">
      <c r="A16" s="2"/>
      <c r="B16" s="2"/>
      <c r="C16" s="2"/>
      <c r="D16" s="2"/>
      <c r="E16" s="2"/>
      <c r="F16" s="2"/>
      <c r="G16" s="2"/>
    </row>
    <row r="17" spans="1:7" x14ac:dyDescent="0.2">
      <c r="A17" s="2"/>
      <c r="B17" s="2"/>
      <c r="C17" s="2"/>
      <c r="D17" s="2"/>
      <c r="E17" s="2"/>
      <c r="F17" s="2"/>
      <c r="G17" s="2"/>
    </row>
    <row r="18" spans="1:7" ht="65" thickBot="1" x14ac:dyDescent="0.25">
      <c r="A18" s="4" t="s">
        <v>19</v>
      </c>
      <c r="B18" s="5">
        <f>E18*E2</f>
        <v>1962</v>
      </c>
      <c r="C18" s="5" t="s">
        <v>12</v>
      </c>
      <c r="D18" s="5" t="s">
        <v>20</v>
      </c>
      <c r="E18" s="5">
        <v>200</v>
      </c>
      <c r="F18" s="5" t="s">
        <v>11</v>
      </c>
      <c r="G18" s="2"/>
    </row>
    <row r="19" spans="1:7" ht="17" thickTop="1" x14ac:dyDescent="0.2">
      <c r="A19" s="5" t="s">
        <v>37</v>
      </c>
      <c r="B19" s="5"/>
      <c r="C19" s="5"/>
      <c r="D19" s="5"/>
      <c r="E19" s="5"/>
      <c r="F19" s="5"/>
      <c r="G19" s="2"/>
    </row>
    <row r="20" spans="1:7" x14ac:dyDescent="0.2">
      <c r="A20" s="5"/>
      <c r="B20" s="5"/>
      <c r="C20" s="5"/>
      <c r="D20" s="5"/>
      <c r="E20" s="5"/>
      <c r="F20" s="5"/>
      <c r="G20" s="2"/>
    </row>
    <row r="21" spans="1:7" x14ac:dyDescent="0.2">
      <c r="A21" s="2"/>
      <c r="B21" s="2"/>
      <c r="C21" s="2"/>
      <c r="D21" s="2"/>
      <c r="E21" s="2"/>
      <c r="F21" s="2"/>
      <c r="G21" s="2"/>
    </row>
    <row r="22" spans="1:7" ht="37" thickBot="1" x14ac:dyDescent="0.25">
      <c r="A22" s="1" t="s">
        <v>23</v>
      </c>
      <c r="B22" s="2">
        <f>(E22*E23*E2)</f>
        <v>2648.7000000000003</v>
      </c>
      <c r="C22" s="2" t="s">
        <v>12</v>
      </c>
      <c r="D22" s="2" t="s">
        <v>1</v>
      </c>
      <c r="E22" s="2">
        <v>1000</v>
      </c>
      <c r="F22" s="2" t="s">
        <v>2</v>
      </c>
      <c r="G22" s="2"/>
    </row>
    <row r="23" spans="1:7" ht="81" thickTop="1" x14ac:dyDescent="0.2">
      <c r="A23" s="2" t="s">
        <v>5</v>
      </c>
      <c r="B23" s="2"/>
      <c r="C23" s="2"/>
      <c r="D23" s="2" t="s">
        <v>38</v>
      </c>
      <c r="E23" s="2">
        <v>0.27</v>
      </c>
      <c r="F23" s="2" t="s">
        <v>4</v>
      </c>
      <c r="G23" s="2"/>
    </row>
    <row r="24" spans="1:7" ht="16" x14ac:dyDescent="0.2">
      <c r="A24" s="2"/>
      <c r="B24" s="2"/>
      <c r="C24" s="2"/>
      <c r="D24" s="2" t="s">
        <v>24</v>
      </c>
      <c r="E24" s="2"/>
      <c r="F24" s="2"/>
      <c r="G24" s="2"/>
    </row>
    <row r="25" spans="1:7" x14ac:dyDescent="0.2">
      <c r="A25" s="2"/>
      <c r="B25" s="2"/>
      <c r="C25" s="2"/>
      <c r="D25" s="2"/>
      <c r="E25" s="2"/>
      <c r="F25" s="2"/>
      <c r="G25" s="2"/>
    </row>
    <row r="26" spans="1:7" ht="43" thickBot="1" x14ac:dyDescent="0.3">
      <c r="A26" s="3" t="s">
        <v>25</v>
      </c>
      <c r="B26" s="2"/>
      <c r="C26" s="2"/>
      <c r="D26" s="2"/>
      <c r="E26" s="2"/>
      <c r="F26" s="2"/>
      <c r="G26" s="2"/>
    </row>
    <row r="27" spans="1:7" ht="17" thickTop="1" x14ac:dyDescent="0.2">
      <c r="A27" s="2" t="s">
        <v>26</v>
      </c>
      <c r="B27" s="2"/>
      <c r="C27" s="2"/>
      <c r="D27" s="2"/>
      <c r="E27" s="2"/>
      <c r="F27" s="2"/>
      <c r="G27" s="2"/>
    </row>
    <row r="28" spans="1:7" x14ac:dyDescent="0.2">
      <c r="A28" s="2"/>
      <c r="B28" s="2"/>
      <c r="C28" s="2"/>
      <c r="D28" s="2"/>
      <c r="E28" s="2"/>
      <c r="F28" s="2"/>
      <c r="G28" s="2"/>
    </row>
    <row r="29" spans="1:7" ht="55" thickBot="1" x14ac:dyDescent="0.25">
      <c r="A29" s="1" t="s">
        <v>27</v>
      </c>
      <c r="B29" s="2"/>
      <c r="C29" s="2"/>
      <c r="D29" s="2"/>
      <c r="E29" s="2"/>
      <c r="F29" s="2"/>
      <c r="G29" s="2"/>
    </row>
    <row r="30" spans="1:7" ht="33" thickTop="1" x14ac:dyDescent="0.2">
      <c r="A30" s="2" t="s">
        <v>28</v>
      </c>
      <c r="B30" s="2">
        <f>(B6-B10+B14)*E3</f>
        <v>1014.48</v>
      </c>
      <c r="C30" s="2" t="s">
        <v>29</v>
      </c>
      <c r="D30" s="2"/>
      <c r="E30" s="2"/>
      <c r="F30" s="2"/>
      <c r="G30" s="2"/>
    </row>
    <row r="31" spans="1:7" x14ac:dyDescent="0.2">
      <c r="A31" s="2"/>
      <c r="B31" s="2"/>
      <c r="C31" s="2"/>
      <c r="D31" s="2"/>
      <c r="E31" s="2"/>
      <c r="F31" s="2"/>
      <c r="G31" s="2"/>
    </row>
    <row r="32" spans="1:7" x14ac:dyDescent="0.2">
      <c r="A32" s="2"/>
      <c r="B32" s="2"/>
      <c r="C32" s="2"/>
      <c r="D32" s="2"/>
      <c r="E32" s="2"/>
      <c r="F32" s="2"/>
      <c r="G32" s="2"/>
    </row>
    <row r="33" spans="1:7" ht="55" thickBot="1" x14ac:dyDescent="0.25">
      <c r="A33" s="1" t="s">
        <v>30</v>
      </c>
      <c r="B33" s="2"/>
      <c r="C33" s="2"/>
      <c r="D33" s="2"/>
      <c r="E33" s="2"/>
      <c r="F33" s="2"/>
      <c r="G33" s="2"/>
    </row>
    <row r="34" spans="1:7" ht="145" thickTop="1" x14ac:dyDescent="0.2">
      <c r="A34" s="2" t="s">
        <v>31</v>
      </c>
      <c r="B34" s="2">
        <f>(-B6+B10+B14+B18-B22)*E3</f>
        <v>-515.88000000000011</v>
      </c>
      <c r="C34" s="2" t="s">
        <v>29</v>
      </c>
      <c r="D34" s="2" t="s">
        <v>39</v>
      </c>
      <c r="E34" s="2"/>
      <c r="F34" s="2"/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2"/>
      <c r="B36" s="2"/>
      <c r="C36" s="2"/>
      <c r="D36" s="2"/>
      <c r="E36" s="2"/>
      <c r="F36" s="2"/>
      <c r="G36" s="2"/>
    </row>
    <row r="37" spans="1:7" x14ac:dyDescent="0.2">
      <c r="A37" s="2"/>
      <c r="B37" s="2"/>
      <c r="C37" s="2"/>
      <c r="D37" s="2"/>
      <c r="E37" s="2"/>
      <c r="F37" s="2"/>
      <c r="G37" s="2"/>
    </row>
    <row r="38" spans="1:7" ht="48" x14ac:dyDescent="0.2">
      <c r="A38" s="2" t="s">
        <v>32</v>
      </c>
      <c r="B38" s="2"/>
      <c r="C38" s="2"/>
      <c r="D38" s="2" t="s">
        <v>34</v>
      </c>
      <c r="E38" s="2"/>
      <c r="F38" s="2"/>
      <c r="G38" s="2"/>
    </row>
    <row r="39" spans="1:7" ht="16" x14ac:dyDescent="0.2">
      <c r="A39" s="2" t="s">
        <v>33</v>
      </c>
      <c r="B39" s="2">
        <f>B30/(4*0.8)</f>
        <v>317.02499999999998</v>
      </c>
      <c r="C39" s="2" t="s">
        <v>29</v>
      </c>
      <c r="D39" s="2"/>
      <c r="E39" s="2"/>
      <c r="F39" s="2"/>
      <c r="G39" s="2"/>
    </row>
    <row r="40" spans="1:7" ht="48" x14ac:dyDescent="0.2">
      <c r="A40" s="2"/>
      <c r="B40" s="2"/>
      <c r="C40" s="2"/>
      <c r="D40" s="2" t="s">
        <v>35</v>
      </c>
      <c r="E40" s="2"/>
      <c r="F40" s="2"/>
      <c r="G40" s="2"/>
    </row>
    <row r="41" spans="1:7" ht="112" x14ac:dyDescent="0.2">
      <c r="A41" s="2" t="s">
        <v>40</v>
      </c>
      <c r="B41" s="2"/>
      <c r="C41" s="2"/>
      <c r="D41" s="2"/>
      <c r="E41" s="2"/>
      <c r="F41" s="2"/>
      <c r="G41" s="2"/>
    </row>
    <row r="42" spans="1:7" x14ac:dyDescent="0.2">
      <c r="A42" s="2"/>
      <c r="B42" s="2"/>
      <c r="C42" s="2"/>
      <c r="D42" s="2"/>
      <c r="E42" s="2"/>
      <c r="F42" s="2"/>
      <c r="G42" s="2"/>
    </row>
    <row r="43" spans="1:7" x14ac:dyDescent="0.2">
      <c r="A43" s="2"/>
      <c r="B43" s="2"/>
      <c r="C43" s="2"/>
      <c r="D43" s="2"/>
      <c r="E43" s="2"/>
      <c r="F43" s="2"/>
      <c r="G43" s="2"/>
    </row>
    <row r="44" spans="1:7" x14ac:dyDescent="0.2">
      <c r="A44" s="2"/>
      <c r="B44" s="2"/>
      <c r="C44" s="2"/>
      <c r="D44" s="2"/>
      <c r="E44" s="2"/>
      <c r="F44" s="2"/>
      <c r="G44" s="2"/>
    </row>
    <row r="45" spans="1:7" x14ac:dyDescent="0.2">
      <c r="A45" s="2"/>
      <c r="B45" s="2"/>
      <c r="C45" s="2"/>
      <c r="D45" s="2"/>
      <c r="E45" s="2"/>
      <c r="F45" s="2"/>
      <c r="G45" s="2"/>
    </row>
    <row r="46" spans="1:7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2"/>
      <c r="B47" s="2"/>
      <c r="C47" s="2"/>
      <c r="D47" s="2"/>
      <c r="E47" s="2"/>
      <c r="F47" s="2"/>
      <c r="G47" s="2"/>
    </row>
    <row r="48" spans="1:7" x14ac:dyDescent="0.2">
      <c r="A48" s="2"/>
      <c r="B48" s="2"/>
      <c r="C48" s="2"/>
      <c r="D48" s="2"/>
      <c r="E48" s="2"/>
      <c r="F48" s="2"/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2"/>
      <c r="B51" s="2"/>
      <c r="C51" s="2"/>
      <c r="D51" s="2"/>
      <c r="E51" s="2"/>
      <c r="F51" s="2"/>
      <c r="G51" s="2"/>
    </row>
    <row r="52" spans="1:7" x14ac:dyDescent="0.2">
      <c r="A52" s="2"/>
      <c r="B52" s="2"/>
      <c r="C52" s="2"/>
      <c r="D52" s="2"/>
      <c r="E52" s="2"/>
      <c r="F52" s="2"/>
      <c r="G52" s="2"/>
    </row>
    <row r="53" spans="1:7" x14ac:dyDescent="0.2">
      <c r="A53" s="2"/>
      <c r="B53" s="2"/>
      <c r="C53" s="2"/>
      <c r="D53" s="2"/>
      <c r="E53" s="2"/>
      <c r="F53" s="2"/>
      <c r="G53" s="2"/>
    </row>
    <row r="54" spans="1:7" x14ac:dyDescent="0.2">
      <c r="A54" s="2"/>
      <c r="B54" s="2"/>
      <c r="C54" s="2"/>
      <c r="D54" s="2"/>
      <c r="E54" s="2"/>
      <c r="F54" s="2"/>
      <c r="G54" s="2"/>
    </row>
    <row r="55" spans="1:7" x14ac:dyDescent="0.2">
      <c r="A55" s="2"/>
      <c r="B55" s="2"/>
      <c r="C55" s="2"/>
      <c r="D55" s="2"/>
      <c r="E55" s="2"/>
      <c r="F55" s="2"/>
      <c r="G55" s="2"/>
    </row>
    <row r="56" spans="1:7" x14ac:dyDescent="0.2">
      <c r="A56" s="2"/>
      <c r="B56" s="2"/>
      <c r="C56" s="2"/>
      <c r="D56" s="2"/>
      <c r="E56" s="2"/>
      <c r="F56" s="2"/>
      <c r="G56" s="2"/>
    </row>
    <row r="57" spans="1:7" x14ac:dyDescent="0.2">
      <c r="A57" s="2"/>
      <c r="B57" s="2"/>
      <c r="C57" s="2"/>
      <c r="D57" s="2"/>
      <c r="E57" s="2"/>
      <c r="F57" s="2"/>
      <c r="G57" s="2"/>
    </row>
    <row r="58" spans="1:7" x14ac:dyDescent="0.2">
      <c r="A58" s="2"/>
      <c r="B58" s="2"/>
      <c r="C58" s="2"/>
      <c r="D58" s="2"/>
      <c r="E58" s="2"/>
      <c r="F58" s="2"/>
      <c r="G58" s="2"/>
    </row>
    <row r="59" spans="1:7" x14ac:dyDescent="0.2">
      <c r="A59" s="2"/>
      <c r="B59" s="2"/>
      <c r="C59" s="2"/>
      <c r="D59" s="2"/>
      <c r="E59" s="2"/>
      <c r="F59" s="2"/>
      <c r="G59" s="2"/>
    </row>
    <row r="60" spans="1:7" x14ac:dyDescent="0.2">
      <c r="A60" s="2"/>
      <c r="B60" s="2"/>
      <c r="C60" s="2"/>
      <c r="D60" s="2"/>
      <c r="E60" s="2"/>
      <c r="F60" s="2"/>
      <c r="G60" s="2"/>
    </row>
    <row r="61" spans="1:7" x14ac:dyDescent="0.2">
      <c r="A61" s="2"/>
      <c r="B61" s="2"/>
      <c r="C61" s="2"/>
      <c r="D61" s="2"/>
      <c r="E61" s="2"/>
      <c r="F61" s="2"/>
      <c r="G61" s="2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x14ac:dyDescent="0.2">
      <c r="A63" s="2"/>
      <c r="B63" s="2"/>
      <c r="C63" s="2"/>
      <c r="D63" s="2"/>
      <c r="E63" s="2"/>
      <c r="F63" s="2"/>
      <c r="G63" s="2"/>
    </row>
    <row r="64" spans="1:7" x14ac:dyDescent="0.2">
      <c r="A64" s="2"/>
      <c r="B64" s="2"/>
      <c r="C64" s="2"/>
      <c r="D64" s="2"/>
      <c r="E64" s="2"/>
      <c r="F64" s="2"/>
      <c r="G64" s="2"/>
    </row>
    <row r="65" spans="1:7" x14ac:dyDescent="0.2">
      <c r="A65" s="2"/>
      <c r="B65" s="2"/>
      <c r="C65" s="2"/>
      <c r="D65" s="2"/>
      <c r="E65" s="2"/>
      <c r="F65" s="2"/>
      <c r="G65" s="2"/>
    </row>
    <row r="66" spans="1:7" x14ac:dyDescent="0.2">
      <c r="A66" s="2"/>
      <c r="B66" s="2"/>
      <c r="C66" s="2"/>
      <c r="D66" s="2"/>
      <c r="E66" s="2"/>
      <c r="F66" s="2"/>
      <c r="G66" s="2"/>
    </row>
    <row r="67" spans="1:7" x14ac:dyDescent="0.2">
      <c r="A67" s="2"/>
      <c r="B67" s="2"/>
      <c r="C67" s="2"/>
      <c r="D67" s="2"/>
      <c r="E67" s="2"/>
      <c r="F67" s="2"/>
      <c r="G67" s="2"/>
    </row>
    <row r="68" spans="1:7" x14ac:dyDescent="0.2">
      <c r="A68" s="2"/>
      <c r="B68" s="2"/>
      <c r="C68" s="2"/>
      <c r="D68" s="2"/>
      <c r="E68" s="2"/>
      <c r="F68" s="2"/>
      <c r="G68" s="2"/>
    </row>
    <row r="69" spans="1:7" x14ac:dyDescent="0.2">
      <c r="A69" s="2"/>
      <c r="B69" s="2"/>
      <c r="C69" s="2"/>
      <c r="D69" s="2"/>
      <c r="E69" s="2"/>
      <c r="F69" s="2"/>
      <c r="G69" s="2"/>
    </row>
    <row r="70" spans="1:7" x14ac:dyDescent="0.2">
      <c r="A70" s="2"/>
      <c r="B70" s="2"/>
      <c r="C70" s="2"/>
      <c r="D70" s="2"/>
      <c r="E70" s="2"/>
      <c r="F70" s="2"/>
      <c r="G70" s="2"/>
    </row>
    <row r="71" spans="1:7" x14ac:dyDescent="0.2">
      <c r="A71" s="2"/>
      <c r="B71" s="2"/>
      <c r="C71" s="2"/>
      <c r="D71" s="2"/>
      <c r="E71" s="2"/>
      <c r="F71" s="2"/>
      <c r="G71" s="2"/>
    </row>
    <row r="72" spans="1:7" x14ac:dyDescent="0.2">
      <c r="A72" s="2"/>
      <c r="B72" s="2"/>
      <c r="C72" s="2"/>
      <c r="D72" s="2"/>
      <c r="E72" s="2"/>
      <c r="F72" s="2"/>
      <c r="G72" s="2"/>
    </row>
    <row r="73" spans="1:7" x14ac:dyDescent="0.2">
      <c r="A73" s="2"/>
      <c r="B73" s="2"/>
      <c r="C73" s="2"/>
      <c r="D73" s="2"/>
      <c r="E73" s="2"/>
      <c r="F73" s="2"/>
      <c r="G73" s="2"/>
    </row>
    <row r="74" spans="1:7" x14ac:dyDescent="0.2">
      <c r="A74" s="2"/>
      <c r="B74" s="2"/>
      <c r="C74" s="2"/>
      <c r="D74" s="2"/>
      <c r="E74" s="2"/>
      <c r="F74" s="2"/>
      <c r="G74" s="2"/>
    </row>
    <row r="75" spans="1:7" x14ac:dyDescent="0.2">
      <c r="A75" s="2"/>
      <c r="B75" s="2"/>
      <c r="C75" s="2"/>
      <c r="D75" s="2"/>
      <c r="E75" s="2"/>
      <c r="F75" s="2"/>
      <c r="G75" s="2"/>
    </row>
    <row r="76" spans="1:7" x14ac:dyDescent="0.2">
      <c r="A76" s="2"/>
      <c r="B76" s="2"/>
      <c r="C76" s="2"/>
      <c r="D76" s="2"/>
      <c r="E76" s="2"/>
      <c r="F76" s="2"/>
      <c r="G76" s="2"/>
    </row>
    <row r="77" spans="1:7" x14ac:dyDescent="0.2">
      <c r="A77" s="2"/>
      <c r="B77" s="2"/>
      <c r="C77" s="2"/>
      <c r="D77" s="2"/>
      <c r="E77" s="2"/>
      <c r="F77" s="2"/>
      <c r="G77" s="2"/>
    </row>
    <row r="78" spans="1:7" x14ac:dyDescent="0.2">
      <c r="A78" s="2"/>
      <c r="B78" s="2"/>
      <c r="C78" s="2"/>
      <c r="D78" s="2"/>
      <c r="E78" s="2"/>
      <c r="F78" s="2"/>
      <c r="G78" s="2"/>
    </row>
    <row r="79" spans="1:7" x14ac:dyDescent="0.2">
      <c r="A79" s="2"/>
      <c r="B79" s="2"/>
      <c r="C79" s="2"/>
      <c r="D79" s="2"/>
      <c r="E79" s="2"/>
      <c r="F79" s="2"/>
      <c r="G79" s="2"/>
    </row>
    <row r="80" spans="1:7" x14ac:dyDescent="0.2">
      <c r="A80" s="2"/>
      <c r="B80" s="2"/>
      <c r="C80" s="2"/>
      <c r="D80" s="2"/>
      <c r="E80" s="2"/>
      <c r="F80" s="2"/>
      <c r="G80" s="2"/>
    </row>
    <row r="81" spans="1:7" x14ac:dyDescent="0.2">
      <c r="A81" s="2"/>
      <c r="B81" s="2"/>
      <c r="C81" s="2"/>
      <c r="D81" s="2"/>
      <c r="E81" s="2"/>
      <c r="F81" s="2"/>
      <c r="G81" s="2"/>
    </row>
    <row r="82" spans="1:7" x14ac:dyDescent="0.2">
      <c r="A82" s="2"/>
      <c r="B82" s="2"/>
      <c r="C82" s="2"/>
      <c r="D82" s="2"/>
      <c r="E82" s="2"/>
      <c r="F82" s="2"/>
      <c r="G82" s="2"/>
    </row>
    <row r="83" spans="1:7" x14ac:dyDescent="0.2">
      <c r="A83" s="2"/>
      <c r="B83" s="2"/>
      <c r="C83" s="2"/>
      <c r="D83" s="2"/>
      <c r="E83" s="2"/>
      <c r="F83" s="2"/>
      <c r="G83" s="2"/>
    </row>
    <row r="84" spans="1:7" x14ac:dyDescent="0.2">
      <c r="A84" s="2"/>
      <c r="B84" s="2"/>
      <c r="C84" s="2"/>
      <c r="D84" s="2"/>
      <c r="E84" s="2"/>
      <c r="F84" s="2"/>
      <c r="G84" s="2"/>
    </row>
    <row r="85" spans="1:7" x14ac:dyDescent="0.2">
      <c r="A85" s="2"/>
      <c r="B85" s="2"/>
      <c r="C85" s="2"/>
      <c r="D85" s="2"/>
      <c r="E85" s="2"/>
      <c r="F85" s="2"/>
      <c r="G85" s="2"/>
    </row>
    <row r="86" spans="1:7" x14ac:dyDescent="0.2">
      <c r="A86" s="2"/>
      <c r="B86" s="2"/>
      <c r="C86" s="2"/>
      <c r="D86" s="2"/>
      <c r="E86" s="2"/>
      <c r="F86" s="2"/>
      <c r="G86" s="2"/>
    </row>
    <row r="87" spans="1:7" x14ac:dyDescent="0.2">
      <c r="A87" s="2"/>
      <c r="B87" s="2"/>
      <c r="C87" s="2"/>
      <c r="D87" s="2"/>
      <c r="E87" s="2"/>
      <c r="F87" s="2"/>
      <c r="G87" s="2"/>
    </row>
    <row r="88" spans="1:7" x14ac:dyDescent="0.2">
      <c r="A88" s="2"/>
      <c r="B88" s="2"/>
      <c r="C88" s="2"/>
      <c r="D88" s="2"/>
      <c r="E88" s="2"/>
      <c r="F88" s="2"/>
      <c r="G88" s="2"/>
    </row>
    <row r="89" spans="1:7" x14ac:dyDescent="0.2">
      <c r="A89" s="2"/>
      <c r="B89" s="2"/>
      <c r="C89" s="2"/>
      <c r="D89" s="2"/>
      <c r="E89" s="2"/>
      <c r="F89" s="2"/>
      <c r="G89" s="2"/>
    </row>
    <row r="90" spans="1:7" x14ac:dyDescent="0.2">
      <c r="A90" s="2"/>
      <c r="B90" s="2"/>
      <c r="C90" s="2"/>
      <c r="D90" s="2"/>
      <c r="E90" s="2"/>
      <c r="F90" s="2"/>
      <c r="G90" s="2"/>
    </row>
    <row r="91" spans="1:7" x14ac:dyDescent="0.2">
      <c r="A91" s="2"/>
      <c r="B91" s="2"/>
      <c r="C91" s="2"/>
      <c r="D91" s="2"/>
      <c r="E91" s="2"/>
      <c r="F91" s="2"/>
      <c r="G91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A22768518DED498A6CA336D584146A" ma:contentTypeVersion="9" ma:contentTypeDescription="Ein neues Dokument erstellen." ma:contentTypeScope="" ma:versionID="57adb96e2065e43ba3dd7041201a9e18">
  <xsd:schema xmlns:xsd="http://www.w3.org/2001/XMLSchema" xmlns:xs="http://www.w3.org/2001/XMLSchema" xmlns:p="http://schemas.microsoft.com/office/2006/metadata/properties" xmlns:ns2="e951736d-8bae-49ca-a303-480f069cc470" targetNamespace="http://schemas.microsoft.com/office/2006/metadata/properties" ma:root="true" ma:fieldsID="2b41c7e1fa64453d0834298ab5e14d94" ns2:_="">
    <xsd:import namespace="e951736d-8bae-49ca-a303-480f069cc4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1736d-8bae-49ca-a303-480f069cc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74E913-B8E6-46E1-8BA9-758080432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F97A1-6706-44C3-A5A4-555A5AD937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51736d-8bae-49ca-a303-480f069cc4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A3F153-FDDE-49BF-B306-D26D409E3CCE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e951736d-8bae-49ca-a303-480f069cc47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Mergin Volkmann</cp:lastModifiedBy>
  <cp:revision/>
  <dcterms:created xsi:type="dcterms:W3CDTF">2021-01-31T09:23:44Z</dcterms:created>
  <dcterms:modified xsi:type="dcterms:W3CDTF">2021-02-08T11:32:09Z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0x010100AAA22768518DED498A6CA336D584146A</vt:lpwstr>
  </property>
</Properties>
</file>