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MS3\"/>
    </mc:Choice>
  </mc:AlternateContent>
  <xr:revisionPtr revIDLastSave="0" documentId="13_ncr:1_{417E0AAA-9F69-416E-B337-52A9BAD29BA4}" xr6:coauthVersionLast="45" xr6:coauthVersionMax="45" xr10:uidLastSave="{00000000-0000-0000-0000-000000000000}"/>
  <bookViews>
    <workbookView xWindow="-108" yWindow="-108" windowWidth="23256" windowHeight="12576" xr2:uid="{676271D3-C705-4B34-B63C-BD4B7BC96D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H31" i="1"/>
  <c r="B31" i="1"/>
  <c r="C30" i="1"/>
  <c r="D30" i="1"/>
  <c r="E30" i="1"/>
  <c r="F30" i="1"/>
  <c r="H30" i="1"/>
  <c r="B30" i="1"/>
  <c r="C29" i="1"/>
  <c r="D29" i="1"/>
  <c r="E29" i="1"/>
  <c r="F29" i="1"/>
  <c r="H29" i="1"/>
  <c r="B29" i="1"/>
  <c r="X7" i="1"/>
  <c r="X8" i="1"/>
  <c r="X9" i="1"/>
  <c r="X10" i="1"/>
  <c r="X11" i="1"/>
  <c r="X12" i="1"/>
  <c r="X13" i="1"/>
  <c r="Z7" i="1"/>
  <c r="Z8" i="1"/>
  <c r="Z9" i="1"/>
  <c r="Z10" i="1"/>
  <c r="Z11" i="1"/>
  <c r="Z12" i="1"/>
  <c r="Z13" i="1"/>
  <c r="Z15" i="1" l="1"/>
  <c r="T7" i="1"/>
  <c r="Q7" i="1"/>
  <c r="W7" i="1"/>
  <c r="T8" i="1"/>
  <c r="Q8" i="1"/>
  <c r="W8" i="1"/>
  <c r="T9" i="1"/>
  <c r="Q9" i="1"/>
  <c r="W9" i="1"/>
  <c r="T10" i="1"/>
  <c r="Q10" i="1"/>
  <c r="W10" i="1"/>
  <c r="T11" i="1"/>
  <c r="Q11" i="1"/>
  <c r="W11" i="1"/>
  <c r="T12" i="1"/>
  <c r="Q12" i="1"/>
  <c r="W12" i="1"/>
  <c r="T13" i="1"/>
  <c r="Q13" i="1"/>
  <c r="W13" i="1"/>
  <c r="N8" i="1"/>
  <c r="N9" i="1"/>
  <c r="N10" i="1"/>
  <c r="N11" i="1"/>
  <c r="N12" i="1"/>
  <c r="N13" i="1"/>
  <c r="N7" i="1"/>
  <c r="R13" i="1"/>
  <c r="O13" i="1"/>
  <c r="U13" i="1"/>
  <c r="L13" i="1"/>
  <c r="R12" i="1"/>
  <c r="O12" i="1"/>
  <c r="U12" i="1"/>
  <c r="L12" i="1"/>
  <c r="R11" i="1"/>
  <c r="O11" i="1"/>
  <c r="U11" i="1"/>
  <c r="L11" i="1"/>
  <c r="R10" i="1"/>
  <c r="O10" i="1"/>
  <c r="U10" i="1"/>
  <c r="L10" i="1"/>
  <c r="R9" i="1"/>
  <c r="O9" i="1"/>
  <c r="U9" i="1"/>
  <c r="L9" i="1"/>
  <c r="R8" i="1"/>
  <c r="O8" i="1"/>
  <c r="U8" i="1"/>
  <c r="L8" i="1"/>
  <c r="R7" i="1"/>
  <c r="O7" i="1"/>
  <c r="U7" i="1"/>
  <c r="L7" i="1"/>
  <c r="W15" i="1" l="1"/>
  <c r="T15" i="1"/>
  <c r="N15" i="1"/>
  <c r="Q15" i="1"/>
</calcChain>
</file>

<file path=xl/sharedStrings.xml><?xml version="1.0" encoding="utf-8"?>
<sst xmlns="http://schemas.openxmlformats.org/spreadsheetml/2006/main" count="132" uniqueCount="34">
  <si>
    <t>Komplexität</t>
  </si>
  <si>
    <t>Bewegungsfreiheit</t>
  </si>
  <si>
    <t>benötigte Verfahrwege</t>
  </si>
  <si>
    <t>Ersatzteilbedarf</t>
  </si>
  <si>
    <t>benötigte Infrastruktur</t>
  </si>
  <si>
    <t>Einsatzdauer</t>
  </si>
  <si>
    <t>Fehleranfälligkeit</t>
  </si>
  <si>
    <t>A</t>
  </si>
  <si>
    <t>X</t>
  </si>
  <si>
    <t>Y</t>
  </si>
  <si>
    <t>Z</t>
  </si>
  <si>
    <t>Leistungsbedarf</t>
  </si>
  <si>
    <t>++</t>
  </si>
  <si>
    <t>+</t>
  </si>
  <si>
    <t>o</t>
  </si>
  <si>
    <t>-</t>
  </si>
  <si>
    <t>--</t>
  </si>
  <si>
    <t>Zielgröße</t>
  </si>
  <si>
    <t>Zielwert</t>
  </si>
  <si>
    <t>Teilnutzwert</t>
  </si>
  <si>
    <t>Anschaffungskosten</t>
  </si>
  <si>
    <t>Betriebskosten</t>
  </si>
  <si>
    <t>Wartungsaufwand</t>
  </si>
  <si>
    <t>Arbeitsgeschwindigkeit</t>
  </si>
  <si>
    <t>Leistungsversorgung</t>
  </si>
  <si>
    <t>Wartungsintervalle</t>
  </si>
  <si>
    <t>Kollisionswahrscheinlichkeit</t>
  </si>
  <si>
    <t>Werkzeuggeschwindigkeit</t>
  </si>
  <si>
    <t>Kriterium</t>
  </si>
  <si>
    <t>Gewichtung</t>
  </si>
  <si>
    <t>gesamt</t>
  </si>
  <si>
    <t>Platz</t>
  </si>
  <si>
    <t>Agilität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</si>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</sst>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4D99-0B04-462E-9756-34C70A2DBC0E}">
  <dimension ref="B5:Z31"/>
  <sheetViews>
    <sheetView tabSelected="1" topLeftCell="G1" zoomScale="85" zoomScaleNormal="85" workbookViewId="0">
      <selection activeCell="T23" sqref="T23"/>
    </sheetView>
  </sheetViews>
  <sheetFormatPr baseColWidth="10" defaultRowHeight="14.4" x14ac:dyDescent="0.3"/>
  <cols>
    <col min="2" max="2" width="22.77734375" customWidth="1"/>
    <col min="8" max="8" width="10.33203125" customWidth="1"/>
    <col min="10" max="10" width="23.44140625" customWidth="1"/>
  </cols>
  <sheetData>
    <row r="5" spans="2:26" x14ac:dyDescent="0.3">
      <c r="B5" s="1"/>
      <c r="C5" s="1" t="s">
        <v>8</v>
      </c>
      <c r="D5" s="1" t="s">
        <v>9</v>
      </c>
      <c r="E5" s="1" t="s">
        <v>10</v>
      </c>
      <c r="F5" s="1" t="s">
        <v>7</v>
      </c>
      <c r="H5" s="1" t="s">
        <v>33</v>
      </c>
      <c r="K5" s="5"/>
      <c r="L5" t="s">
        <v>8</v>
      </c>
      <c r="N5" s="5"/>
      <c r="O5" t="s">
        <v>9</v>
      </c>
      <c r="Q5" s="5"/>
      <c r="R5" t="s">
        <v>10</v>
      </c>
      <c r="T5" s="5"/>
      <c r="U5" t="s">
        <v>7</v>
      </c>
      <c r="W5" s="8"/>
      <c r="X5" t="s">
        <v>33</v>
      </c>
    </row>
    <row r="6" spans="2:26" ht="15" thickBot="1" x14ac:dyDescent="0.35">
      <c r="B6" s="1"/>
      <c r="C6" s="1"/>
      <c r="D6" s="1"/>
      <c r="E6" s="1"/>
      <c r="F6" s="1"/>
      <c r="H6" s="1"/>
      <c r="J6" s="7" t="s">
        <v>28</v>
      </c>
      <c r="K6" s="6" t="s">
        <v>29</v>
      </c>
      <c r="L6" s="7" t="s">
        <v>17</v>
      </c>
      <c r="M6" s="7" t="s">
        <v>18</v>
      </c>
      <c r="N6" s="6" t="s">
        <v>19</v>
      </c>
      <c r="O6" s="7" t="s">
        <v>17</v>
      </c>
      <c r="P6" s="7" t="s">
        <v>18</v>
      </c>
      <c r="Q6" s="6" t="s">
        <v>19</v>
      </c>
      <c r="R6" s="7" t="s">
        <v>17</v>
      </c>
      <c r="S6" s="7" t="s">
        <v>18</v>
      </c>
      <c r="T6" s="6" t="s">
        <v>19</v>
      </c>
      <c r="U6" s="7" t="s">
        <v>17</v>
      </c>
      <c r="V6" s="7" t="s">
        <v>18</v>
      </c>
      <c r="W6" s="9" t="s">
        <v>19</v>
      </c>
      <c r="X6" s="7" t="s">
        <v>17</v>
      </c>
      <c r="Y6" s="7" t="s">
        <v>18</v>
      </c>
      <c r="Z6" s="7" t="s">
        <v>19</v>
      </c>
    </row>
    <row r="7" spans="2:26" x14ac:dyDescent="0.3">
      <c r="B7" s="3" t="s">
        <v>21</v>
      </c>
      <c r="C7" s="1" t="s">
        <v>15</v>
      </c>
      <c r="D7" s="1" t="s">
        <v>13</v>
      </c>
      <c r="E7" s="1" t="s">
        <v>13</v>
      </c>
      <c r="F7" s="1" t="s">
        <v>15</v>
      </c>
      <c r="H7" s="1" t="s">
        <v>13</v>
      </c>
      <c r="J7" s="1" t="s">
        <v>20</v>
      </c>
      <c r="K7" s="12">
        <v>0.09</v>
      </c>
      <c r="L7" s="10" t="str">
        <f>C11</f>
        <v>o</v>
      </c>
      <c r="M7" s="13">
        <v>5</v>
      </c>
      <c r="N7" s="14">
        <f>$K7*M7</f>
        <v>0.44999999999999996</v>
      </c>
      <c r="O7" s="10" t="str">
        <f>D11</f>
        <v>o</v>
      </c>
      <c r="P7" s="13">
        <v>5</v>
      </c>
      <c r="Q7" s="14">
        <f>$K7*P7</f>
        <v>0.44999999999999996</v>
      </c>
      <c r="R7" s="10" t="str">
        <f>E11</f>
        <v>+</v>
      </c>
      <c r="S7" s="13">
        <v>7</v>
      </c>
      <c r="T7" s="14">
        <f>$K7*S7</f>
        <v>0.63</v>
      </c>
      <c r="U7" s="10" t="str">
        <f>F11</f>
        <v>--</v>
      </c>
      <c r="V7" s="13">
        <v>1</v>
      </c>
      <c r="W7" s="15">
        <f>$K7*V7</f>
        <v>0.09</v>
      </c>
      <c r="X7" s="10" t="str">
        <f>H11</f>
        <v>o</v>
      </c>
      <c r="Y7" s="13">
        <v>5</v>
      </c>
      <c r="Z7" s="13">
        <f>$K7*Y7</f>
        <v>0.44999999999999996</v>
      </c>
    </row>
    <row r="8" spans="2:26" x14ac:dyDescent="0.3">
      <c r="B8" s="1" t="s">
        <v>11</v>
      </c>
      <c r="C8" s="1" t="s">
        <v>14</v>
      </c>
      <c r="D8" s="1" t="s">
        <v>12</v>
      </c>
      <c r="E8" s="1" t="s">
        <v>14</v>
      </c>
      <c r="F8" s="1" t="s">
        <v>13</v>
      </c>
      <c r="H8" s="1" t="s">
        <v>12</v>
      </c>
      <c r="J8" s="1" t="s">
        <v>21</v>
      </c>
      <c r="K8" s="12">
        <v>0.21</v>
      </c>
      <c r="L8" s="11" t="str">
        <f>C7</f>
        <v>-</v>
      </c>
      <c r="M8" s="13">
        <v>3</v>
      </c>
      <c r="N8" s="14">
        <f>$K8*M8</f>
        <v>0.63</v>
      </c>
      <c r="O8" s="11" t="str">
        <f>D7</f>
        <v>+</v>
      </c>
      <c r="P8" s="13">
        <v>7</v>
      </c>
      <c r="Q8" s="14">
        <f>$K8*P8</f>
        <v>1.47</v>
      </c>
      <c r="R8" s="11" t="str">
        <f>E7</f>
        <v>+</v>
      </c>
      <c r="S8" s="13">
        <v>7</v>
      </c>
      <c r="T8" s="14">
        <f>$K8*S8</f>
        <v>1.47</v>
      </c>
      <c r="U8" s="11" t="str">
        <f>F7</f>
        <v>-</v>
      </c>
      <c r="V8" s="13">
        <v>3</v>
      </c>
      <c r="W8" s="15">
        <f>$K8*V8</f>
        <v>0.63</v>
      </c>
      <c r="X8" s="11" t="str">
        <f>H7</f>
        <v>+</v>
      </c>
      <c r="Y8" s="13">
        <v>7</v>
      </c>
      <c r="Z8" s="13">
        <f>$K8*Y8</f>
        <v>1.47</v>
      </c>
    </row>
    <row r="9" spans="2:26" x14ac:dyDescent="0.3">
      <c r="B9" s="1" t="s">
        <v>3</v>
      </c>
      <c r="C9" s="1" t="s">
        <v>15</v>
      </c>
      <c r="D9" s="1" t="s">
        <v>15</v>
      </c>
      <c r="E9" s="1" t="s">
        <v>13</v>
      </c>
      <c r="F9" s="1" t="s">
        <v>16</v>
      </c>
      <c r="H9" s="1" t="s">
        <v>15</v>
      </c>
      <c r="J9" s="1" t="s">
        <v>22</v>
      </c>
      <c r="K9" s="12">
        <v>0.08</v>
      </c>
      <c r="L9" s="11" t="str">
        <f>C28</f>
        <v>-</v>
      </c>
      <c r="M9" s="13">
        <v>3</v>
      </c>
      <c r="N9" s="14">
        <f>$K9*M9</f>
        <v>0.24</v>
      </c>
      <c r="O9" s="11" t="str">
        <f>D28</f>
        <v>+</v>
      </c>
      <c r="P9" s="13">
        <v>7</v>
      </c>
      <c r="Q9" s="14">
        <f>$K9*P9</f>
        <v>0.56000000000000005</v>
      </c>
      <c r="R9" s="11" t="str">
        <f>E28</f>
        <v>+</v>
      </c>
      <c r="S9" s="13">
        <v>7</v>
      </c>
      <c r="T9" s="14">
        <f>$K9*S9</f>
        <v>0.56000000000000005</v>
      </c>
      <c r="U9" s="11" t="str">
        <f>F28</f>
        <v>--</v>
      </c>
      <c r="V9" s="13">
        <v>1</v>
      </c>
      <c r="W9" s="15">
        <f>$K9*V9</f>
        <v>0.08</v>
      </c>
      <c r="X9" s="11" t="str">
        <f>H28</f>
        <v>+</v>
      </c>
      <c r="Y9" s="13">
        <v>7</v>
      </c>
      <c r="Z9" s="13">
        <f>$K9*Y9</f>
        <v>0.56000000000000005</v>
      </c>
    </row>
    <row r="10" spans="2:26" x14ac:dyDescent="0.3">
      <c r="J10" s="1" t="s">
        <v>6</v>
      </c>
      <c r="K10" s="12">
        <v>0.32</v>
      </c>
      <c r="L10" s="11" t="str">
        <f>C25</f>
        <v>-</v>
      </c>
      <c r="M10" s="13">
        <v>3</v>
      </c>
      <c r="N10" s="14">
        <f>$K10*M10</f>
        <v>0.96</v>
      </c>
      <c r="O10" s="11" t="str">
        <f>D25</f>
        <v>++</v>
      </c>
      <c r="P10" s="13">
        <v>10</v>
      </c>
      <c r="Q10" s="14">
        <f>$K10*P10</f>
        <v>3.2</v>
      </c>
      <c r="R10" s="11" t="str">
        <f>E25</f>
        <v>o</v>
      </c>
      <c r="S10" s="13">
        <v>5</v>
      </c>
      <c r="T10" s="14">
        <f>$K10*S10</f>
        <v>1.6</v>
      </c>
      <c r="U10" s="11" t="str">
        <f>F25</f>
        <v>--</v>
      </c>
      <c r="V10" s="13">
        <v>1</v>
      </c>
      <c r="W10" s="15">
        <f>$K10*V10</f>
        <v>0.32</v>
      </c>
      <c r="X10" s="11" t="str">
        <f>H25</f>
        <v>++</v>
      </c>
      <c r="Y10" s="13">
        <v>10</v>
      </c>
      <c r="Z10" s="13">
        <f>$K10*Y10</f>
        <v>3.2</v>
      </c>
    </row>
    <row r="11" spans="2:26" x14ac:dyDescent="0.3">
      <c r="B11" s="3" t="s">
        <v>20</v>
      </c>
      <c r="C11" s="1" t="s">
        <v>14</v>
      </c>
      <c r="D11" s="1" t="s">
        <v>14</v>
      </c>
      <c r="E11" s="1" t="s">
        <v>13</v>
      </c>
      <c r="F11" s="1" t="s">
        <v>16</v>
      </c>
      <c r="H11" s="1" t="s">
        <v>14</v>
      </c>
      <c r="J11" s="1" t="s">
        <v>5</v>
      </c>
      <c r="K11" s="12">
        <v>0.06</v>
      </c>
      <c r="L11" s="11" t="str">
        <f>C21</f>
        <v>o</v>
      </c>
      <c r="M11" s="13">
        <v>5</v>
      </c>
      <c r="N11" s="14">
        <f>$K11*M11</f>
        <v>0.3</v>
      </c>
      <c r="O11" s="11" t="str">
        <f>D21</f>
        <v>+</v>
      </c>
      <c r="P11" s="13">
        <v>7</v>
      </c>
      <c r="Q11" s="14">
        <f>$K11*P11</f>
        <v>0.42</v>
      </c>
      <c r="R11" s="11" t="str">
        <f>E21</f>
        <v>o</v>
      </c>
      <c r="S11" s="13">
        <v>5</v>
      </c>
      <c r="T11" s="14">
        <f>$K11*S11</f>
        <v>0.3</v>
      </c>
      <c r="U11" s="11" t="str">
        <f>F21</f>
        <v>+</v>
      </c>
      <c r="V11" s="13">
        <v>7</v>
      </c>
      <c r="W11" s="15">
        <f>$K11*V11</f>
        <v>0.42</v>
      </c>
      <c r="X11" s="11" t="str">
        <f>H21</f>
        <v>+</v>
      </c>
      <c r="Y11" s="13">
        <v>7</v>
      </c>
      <c r="Z11" s="13">
        <f>$K11*Y11</f>
        <v>0.42</v>
      </c>
    </row>
    <row r="12" spans="2:26" x14ac:dyDescent="0.3">
      <c r="B12" s="1" t="s">
        <v>0</v>
      </c>
      <c r="C12" s="1" t="s">
        <v>15</v>
      </c>
      <c r="D12" s="1" t="s">
        <v>12</v>
      </c>
      <c r="E12" s="1" t="s">
        <v>14</v>
      </c>
      <c r="F12" s="1" t="s">
        <v>16</v>
      </c>
      <c r="H12" s="1" t="s">
        <v>12</v>
      </c>
      <c r="J12" s="1" t="s">
        <v>23</v>
      </c>
      <c r="K12" s="12">
        <v>0.09</v>
      </c>
      <c r="L12" s="11" t="str">
        <f>C17</f>
        <v>-</v>
      </c>
      <c r="M12" s="13">
        <v>3</v>
      </c>
      <c r="N12" s="14">
        <f>$K12*M12</f>
        <v>0.27</v>
      </c>
      <c r="O12" s="11" t="str">
        <f>D17</f>
        <v>+</v>
      </c>
      <c r="P12" s="13">
        <v>7</v>
      </c>
      <c r="Q12" s="14">
        <f>$K12*P12</f>
        <v>0.63</v>
      </c>
      <c r="R12" s="11" t="str">
        <f>E17</f>
        <v>+</v>
      </c>
      <c r="S12" s="13">
        <v>7</v>
      </c>
      <c r="T12" s="14">
        <f>$K12*S12</f>
        <v>0.63</v>
      </c>
      <c r="U12" s="11" t="str">
        <f>F17</f>
        <v>+</v>
      </c>
      <c r="V12" s="13">
        <v>7</v>
      </c>
      <c r="W12" s="15">
        <f>$K12*V12</f>
        <v>0.63</v>
      </c>
      <c r="X12" s="11" t="str">
        <f>H17</f>
        <v>++</v>
      </c>
      <c r="Y12" s="13">
        <v>10</v>
      </c>
      <c r="Z12" s="13">
        <f>$K12*Y12</f>
        <v>0.89999999999999991</v>
      </c>
    </row>
    <row r="13" spans="2:26" x14ac:dyDescent="0.3">
      <c r="B13" s="1" t="s">
        <v>4</v>
      </c>
      <c r="C13" s="1" t="s">
        <v>13</v>
      </c>
      <c r="D13" s="1" t="s">
        <v>16</v>
      </c>
      <c r="E13" s="1" t="s">
        <v>12</v>
      </c>
      <c r="F13" s="1" t="s">
        <v>16</v>
      </c>
      <c r="H13" s="1" t="s">
        <v>16</v>
      </c>
      <c r="J13" s="1" t="s">
        <v>32</v>
      </c>
      <c r="K13" s="12">
        <v>0.15</v>
      </c>
      <c r="L13" s="11" t="str">
        <f>C15</f>
        <v>++</v>
      </c>
      <c r="M13" s="13">
        <v>10</v>
      </c>
      <c r="N13" s="14">
        <f>$K13*M13</f>
        <v>1.5</v>
      </c>
      <c r="O13" s="11" t="str">
        <f>D15</f>
        <v>--</v>
      </c>
      <c r="P13" s="13">
        <v>1</v>
      </c>
      <c r="Q13" s="14">
        <f>$K13*P13</f>
        <v>0.15</v>
      </c>
      <c r="R13" s="11" t="str">
        <f>E15</f>
        <v>++</v>
      </c>
      <c r="S13" s="13">
        <v>10</v>
      </c>
      <c r="T13" s="14">
        <f>$K13*S13</f>
        <v>1.5</v>
      </c>
      <c r="U13" s="11" t="str">
        <f>F15</f>
        <v>-</v>
      </c>
      <c r="V13" s="13">
        <v>3</v>
      </c>
      <c r="W13" s="15">
        <f>$K13*V13</f>
        <v>0.44999999999999996</v>
      </c>
      <c r="X13" s="11" t="str">
        <f>H15</f>
        <v>--</v>
      </c>
      <c r="Y13" s="13">
        <v>1</v>
      </c>
      <c r="Z13" s="13">
        <f>$K13*Y13</f>
        <v>0.15</v>
      </c>
    </row>
    <row r="14" spans="2:26" x14ac:dyDescent="0.3">
      <c r="K14" s="14"/>
      <c r="L14" s="13"/>
      <c r="M14" s="13"/>
      <c r="N14" s="14"/>
      <c r="O14" s="13"/>
      <c r="P14" s="13"/>
      <c r="Q14" s="14"/>
      <c r="R14" s="13"/>
      <c r="S14" s="13"/>
      <c r="T14" s="14"/>
      <c r="U14" s="13"/>
      <c r="V14" s="13"/>
      <c r="W14" s="15"/>
      <c r="X14" s="13"/>
      <c r="Y14" s="13"/>
      <c r="Z14" s="13"/>
    </row>
    <row r="15" spans="2:26" x14ac:dyDescent="0.3">
      <c r="B15" s="3" t="s">
        <v>1</v>
      </c>
      <c r="C15" s="1" t="s">
        <v>12</v>
      </c>
      <c r="D15" s="1" t="s">
        <v>16</v>
      </c>
      <c r="E15" s="1" t="s">
        <v>12</v>
      </c>
      <c r="F15" s="1" t="s">
        <v>15</v>
      </c>
      <c r="H15" s="1" t="s">
        <v>16</v>
      </c>
      <c r="J15" s="1" t="s">
        <v>30</v>
      </c>
      <c r="K15" s="14"/>
      <c r="L15" s="13"/>
      <c r="M15" s="13"/>
      <c r="N15" s="14">
        <f>SUM(N7:N13)</f>
        <v>4.3499999999999996</v>
      </c>
      <c r="O15" s="13"/>
      <c r="P15" s="13"/>
      <c r="Q15" s="14">
        <f>SUM(Q7:Q13)</f>
        <v>6.88</v>
      </c>
      <c r="R15" s="13"/>
      <c r="S15" s="13"/>
      <c r="T15" s="14">
        <f>SUM(T7:T13)</f>
        <v>6.6899999999999995</v>
      </c>
      <c r="U15" s="13"/>
      <c r="V15" s="13"/>
      <c r="W15" s="15">
        <f>SUM(W7:W13)</f>
        <v>2.62</v>
      </c>
      <c r="X15" s="13"/>
      <c r="Y15" s="13"/>
      <c r="Z15" s="13">
        <f>SUM(Z7:Z13)</f>
        <v>7.15</v>
      </c>
    </row>
    <row r="16" spans="2:26" x14ac:dyDescent="0.3">
      <c r="J16" s="3" t="s">
        <v>31</v>
      </c>
      <c r="K16" s="14"/>
      <c r="L16" s="13"/>
      <c r="M16" s="13"/>
      <c r="N16" s="16">
        <v>4</v>
      </c>
      <c r="O16" s="13"/>
      <c r="P16" s="13"/>
      <c r="Q16" s="16">
        <v>2</v>
      </c>
      <c r="R16" s="13"/>
      <c r="S16" s="13"/>
      <c r="T16" s="16">
        <v>3</v>
      </c>
      <c r="U16" s="13"/>
      <c r="V16" s="13"/>
      <c r="W16" s="17">
        <v>5</v>
      </c>
      <c r="X16" s="13"/>
      <c r="Y16" s="13"/>
      <c r="Z16" s="18">
        <v>1</v>
      </c>
    </row>
    <row r="17" spans="2:20" x14ac:dyDescent="0.3">
      <c r="B17" s="3" t="s">
        <v>23</v>
      </c>
      <c r="C17" s="1" t="s">
        <v>15</v>
      </c>
      <c r="D17" s="1" t="s">
        <v>13</v>
      </c>
      <c r="E17" s="1" t="s">
        <v>13</v>
      </c>
      <c r="F17" s="1" t="s">
        <v>13</v>
      </c>
      <c r="H17" s="1" t="s">
        <v>12</v>
      </c>
      <c r="T17" s="2"/>
    </row>
    <row r="18" spans="2:20" x14ac:dyDescent="0.3">
      <c r="B18" s="1" t="s">
        <v>2</v>
      </c>
      <c r="C18" s="1" t="s">
        <v>15</v>
      </c>
      <c r="D18" s="1" t="s">
        <v>12</v>
      </c>
      <c r="E18" s="1" t="s">
        <v>14</v>
      </c>
      <c r="F18" s="1" t="s">
        <v>13</v>
      </c>
      <c r="H18" s="1" t="s">
        <v>12</v>
      </c>
      <c r="R18" s="2"/>
    </row>
    <row r="19" spans="2:20" x14ac:dyDescent="0.3">
      <c r="B19" s="1" t="s">
        <v>27</v>
      </c>
      <c r="C19" s="1" t="s">
        <v>14</v>
      </c>
      <c r="D19" s="1" t="s">
        <v>14</v>
      </c>
      <c r="E19" s="1" t="s">
        <v>12</v>
      </c>
      <c r="F19" s="1" t="s">
        <v>14</v>
      </c>
      <c r="H19" s="1" t="s">
        <v>12</v>
      </c>
      <c r="R19" s="2"/>
    </row>
    <row r="20" spans="2:20" x14ac:dyDescent="0.3">
      <c r="R20" s="2"/>
    </row>
    <row r="21" spans="2:20" x14ac:dyDescent="0.3">
      <c r="B21" s="3" t="s">
        <v>5</v>
      </c>
      <c r="C21" s="1" t="s">
        <v>14</v>
      </c>
      <c r="D21" s="1" t="s">
        <v>13</v>
      </c>
      <c r="E21" s="1" t="s">
        <v>14</v>
      </c>
      <c r="F21" s="1" t="s">
        <v>13</v>
      </c>
      <c r="H21" s="1" t="s">
        <v>13</v>
      </c>
      <c r="R21" s="2"/>
    </row>
    <row r="22" spans="2:20" x14ac:dyDescent="0.3">
      <c r="B22" s="4" t="s">
        <v>24</v>
      </c>
      <c r="C22" s="1" t="s">
        <v>15</v>
      </c>
      <c r="D22" s="1" t="s">
        <v>12</v>
      </c>
      <c r="E22" s="1" t="s">
        <v>15</v>
      </c>
      <c r="F22" s="1" t="s">
        <v>12</v>
      </c>
      <c r="H22" s="1" t="s">
        <v>12</v>
      </c>
      <c r="R22" s="2"/>
    </row>
    <row r="23" spans="2:20" x14ac:dyDescent="0.3">
      <c r="B23" s="4" t="s">
        <v>25</v>
      </c>
      <c r="C23" s="1" t="s">
        <v>14</v>
      </c>
      <c r="D23" s="1" t="s">
        <v>14</v>
      </c>
      <c r="E23" s="1" t="s">
        <v>13</v>
      </c>
      <c r="F23" s="1" t="s">
        <v>14</v>
      </c>
      <c r="H23" s="1" t="s">
        <v>14</v>
      </c>
    </row>
    <row r="25" spans="2:20" x14ac:dyDescent="0.3">
      <c r="B25" s="3" t="s">
        <v>6</v>
      </c>
      <c r="C25" s="1" t="s">
        <v>15</v>
      </c>
      <c r="D25" s="1" t="s">
        <v>12</v>
      </c>
      <c r="E25" s="1" t="s">
        <v>14</v>
      </c>
      <c r="F25" s="1" t="s">
        <v>16</v>
      </c>
      <c r="H25" s="1" t="s">
        <v>12</v>
      </c>
    </row>
    <row r="26" spans="2:20" x14ac:dyDescent="0.3">
      <c r="B26" s="4" t="s">
        <v>26</v>
      </c>
      <c r="C26" s="1" t="s">
        <v>15</v>
      </c>
      <c r="D26" s="1" t="s">
        <v>12</v>
      </c>
      <c r="E26" s="1" t="s">
        <v>14</v>
      </c>
      <c r="F26" s="1" t="s">
        <v>16</v>
      </c>
      <c r="H26" s="1" t="s">
        <v>12</v>
      </c>
    </row>
    <row r="28" spans="2:20" x14ac:dyDescent="0.3">
      <c r="B28" s="3" t="s">
        <v>22</v>
      </c>
      <c r="C28" s="1" t="s">
        <v>15</v>
      </c>
      <c r="D28" s="1" t="s">
        <v>13</v>
      </c>
      <c r="E28" s="1" t="s">
        <v>13</v>
      </c>
      <c r="F28" s="1" t="s">
        <v>16</v>
      </c>
      <c r="H28" s="1" t="s">
        <v>13</v>
      </c>
    </row>
    <row r="29" spans="2:20" x14ac:dyDescent="0.3">
      <c r="B29" s="1" t="str">
        <f>B12</f>
        <v>Komplexität</v>
      </c>
      <c r="C29" s="1" t="str">
        <f t="shared" ref="C29:H29" si="0">C12</f>
        <v>-</v>
      </c>
      <c r="D29" s="1" t="str">
        <f t="shared" si="0"/>
        <v>++</v>
      </c>
      <c r="E29" s="1" t="str">
        <f t="shared" si="0"/>
        <v>o</v>
      </c>
      <c r="F29" s="1" t="str">
        <f t="shared" si="0"/>
        <v>--</v>
      </c>
      <c r="G29" s="1"/>
      <c r="H29" s="1" t="str">
        <f t="shared" si="0"/>
        <v>++</v>
      </c>
    </row>
    <row r="30" spans="2:20" x14ac:dyDescent="0.3">
      <c r="B30" s="1" t="str">
        <f>B9</f>
        <v>Ersatzteilbedarf</v>
      </c>
      <c r="C30" s="1" t="str">
        <f t="shared" ref="C30:H30" si="1">C9</f>
        <v>-</v>
      </c>
      <c r="D30" s="1" t="str">
        <f t="shared" si="1"/>
        <v>-</v>
      </c>
      <c r="E30" s="1" t="str">
        <f t="shared" si="1"/>
        <v>+</v>
      </c>
      <c r="F30" s="1" t="str">
        <f t="shared" si="1"/>
        <v>--</v>
      </c>
      <c r="G30" s="1"/>
      <c r="H30" s="1" t="str">
        <f t="shared" si="1"/>
        <v>-</v>
      </c>
    </row>
    <row r="31" spans="2:20" x14ac:dyDescent="0.3">
      <c r="B31" s="1" t="str">
        <f>B23</f>
        <v>Wartungsintervalle</v>
      </c>
      <c r="C31" s="1" t="str">
        <f t="shared" ref="C31:H31" si="2">C23</f>
        <v>o</v>
      </c>
      <c r="D31" s="1" t="str">
        <f t="shared" si="2"/>
        <v>o</v>
      </c>
      <c r="E31" s="1" t="str">
        <f t="shared" si="2"/>
        <v>+</v>
      </c>
      <c r="F31" s="1" t="str">
        <f t="shared" si="2"/>
        <v>o</v>
      </c>
      <c r="G31" s="1"/>
      <c r="H31" s="1" t="str">
        <f t="shared" si="2"/>
        <v>o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2020-12-28T10:56:10Z</dcterms:created>
  <dcterms:modified xsi:type="dcterms:W3CDTF">2020-12-29T20:42:35Z</dcterms:modified>
</cp:coreProperties>
</file>