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git repo\MKon\Meilenstein 3\Dokumente\"/>
    </mc:Choice>
  </mc:AlternateContent>
  <xr:revisionPtr revIDLastSave="0" documentId="13_ncr:1_{C8E83CCE-C84E-4AC7-8F53-1197B361E7E6}" xr6:coauthVersionLast="46" xr6:coauthVersionMax="46" xr10:uidLastSave="{00000000-0000-0000-0000-000000000000}"/>
  <bookViews>
    <workbookView xWindow="22932" yWindow="-108" windowWidth="23256" windowHeight="12576" xr2:uid="{676271D3-C705-4B34-B63C-BD4B7BC96D56}"/>
  </bookViews>
  <sheets>
    <sheet name="Tabelle1" sheetId="1" r:id="rId1"/>
  </sheets>
  <definedNames>
    <definedName name="_xlnm.Print_Area" localSheetId="0">Tabelle1!$A$5:$G$130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  <c r="E82" i="1"/>
  <c r="F82" i="1"/>
  <c r="G82" i="1"/>
  <c r="D83" i="1"/>
  <c r="E83" i="1"/>
  <c r="F83" i="1"/>
  <c r="G83" i="1"/>
  <c r="D84" i="1"/>
  <c r="E84" i="1"/>
  <c r="F84" i="1"/>
  <c r="G84" i="1"/>
  <c r="D85" i="1"/>
  <c r="E85" i="1"/>
  <c r="F85" i="1"/>
  <c r="G85" i="1"/>
  <c r="D86" i="1"/>
  <c r="E86" i="1"/>
  <c r="F86" i="1"/>
  <c r="G86" i="1"/>
  <c r="D87" i="1"/>
  <c r="E87" i="1"/>
  <c r="F87" i="1"/>
  <c r="G87" i="1"/>
  <c r="C83" i="1"/>
  <c r="C84" i="1"/>
  <c r="C85" i="1"/>
  <c r="C86" i="1"/>
  <c r="C87" i="1"/>
  <c r="C82" i="1"/>
  <c r="C77" i="1"/>
  <c r="D77" i="1"/>
  <c r="D75" i="1" s="1"/>
  <c r="N14" i="1" s="1"/>
  <c r="O14" i="1" s="1"/>
  <c r="E77" i="1"/>
  <c r="F77" i="1"/>
  <c r="G77" i="1"/>
  <c r="C78" i="1"/>
  <c r="C75" i="1" s="1"/>
  <c r="L14" i="1" s="1"/>
  <c r="M14" i="1" s="1"/>
  <c r="D78" i="1"/>
  <c r="E78" i="1"/>
  <c r="F78" i="1"/>
  <c r="G78" i="1"/>
  <c r="D76" i="1"/>
  <c r="E76" i="1"/>
  <c r="F76" i="1"/>
  <c r="G76" i="1"/>
  <c r="G75" i="1" s="1"/>
  <c r="T14" i="1" s="1"/>
  <c r="U14" i="1" s="1"/>
  <c r="C76" i="1"/>
  <c r="D67" i="1"/>
  <c r="E67" i="1"/>
  <c r="F67" i="1"/>
  <c r="G67" i="1"/>
  <c r="T12" i="1" s="1"/>
  <c r="U12" i="1" s="1"/>
  <c r="C67" i="1"/>
  <c r="D61" i="1"/>
  <c r="E61" i="1"/>
  <c r="E60" i="1" s="1"/>
  <c r="E51" i="1" s="1"/>
  <c r="P11" i="1" s="1"/>
  <c r="Q11" i="1" s="1"/>
  <c r="F61" i="1"/>
  <c r="G61" i="1"/>
  <c r="D62" i="1"/>
  <c r="E62" i="1"/>
  <c r="F62" i="1"/>
  <c r="G62" i="1"/>
  <c r="D63" i="1"/>
  <c r="D60" i="1" s="1"/>
  <c r="E63" i="1"/>
  <c r="F63" i="1"/>
  <c r="G63" i="1"/>
  <c r="C62" i="1"/>
  <c r="C63" i="1"/>
  <c r="C61" i="1"/>
  <c r="D53" i="1"/>
  <c r="E53" i="1"/>
  <c r="F53" i="1"/>
  <c r="F52" i="1" s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C54" i="1"/>
  <c r="C55" i="1"/>
  <c r="C56" i="1"/>
  <c r="C57" i="1"/>
  <c r="C58" i="1"/>
  <c r="C53" i="1"/>
  <c r="C42" i="1"/>
  <c r="D42" i="1"/>
  <c r="E42" i="1"/>
  <c r="F42" i="1"/>
  <c r="G42" i="1"/>
  <c r="C43" i="1"/>
  <c r="D43" i="1"/>
  <c r="E43" i="1"/>
  <c r="F43" i="1"/>
  <c r="F40" i="1" s="1"/>
  <c r="F39" i="1" s="1"/>
  <c r="R10" i="1" s="1"/>
  <c r="S10" i="1" s="1"/>
  <c r="G43" i="1"/>
  <c r="C44" i="1"/>
  <c r="D44" i="1"/>
  <c r="E44" i="1"/>
  <c r="F44" i="1"/>
  <c r="G44" i="1"/>
  <c r="D41" i="1"/>
  <c r="E41" i="1"/>
  <c r="F41" i="1"/>
  <c r="G41" i="1"/>
  <c r="C41" i="1"/>
  <c r="C40" i="1" s="1"/>
  <c r="C39" i="1" s="1"/>
  <c r="L10" i="1" s="1"/>
  <c r="M10" i="1" s="1"/>
  <c r="AL60" i="1"/>
  <c r="AM46" i="1"/>
  <c r="AL46" i="1"/>
  <c r="AK46" i="1"/>
  <c r="AJ46" i="1"/>
  <c r="AI46" i="1"/>
  <c r="AM41" i="1"/>
  <c r="AL41" i="1"/>
  <c r="AK41" i="1"/>
  <c r="AJ41" i="1"/>
  <c r="AI41" i="1"/>
  <c r="AM36" i="1"/>
  <c r="AL36" i="1"/>
  <c r="AK36" i="1"/>
  <c r="AJ36" i="1"/>
  <c r="AI36" i="1"/>
  <c r="AM31" i="1"/>
  <c r="AL31" i="1"/>
  <c r="AK31" i="1"/>
  <c r="AJ31" i="1"/>
  <c r="AI31" i="1"/>
  <c r="AJ26" i="1"/>
  <c r="AK26" i="1"/>
  <c r="AL26" i="1"/>
  <c r="AM26" i="1"/>
  <c r="AI26" i="1"/>
  <c r="G128" i="1"/>
  <c r="T22" i="1" s="1"/>
  <c r="U22" i="1" s="1"/>
  <c r="F128" i="1"/>
  <c r="R22" i="1" s="1"/>
  <c r="S22" i="1" s="1"/>
  <c r="E128" i="1"/>
  <c r="P22" i="1" s="1"/>
  <c r="Q22" i="1" s="1"/>
  <c r="D128" i="1"/>
  <c r="N22" i="1" s="1"/>
  <c r="O22" i="1" s="1"/>
  <c r="C128" i="1"/>
  <c r="L22" i="1" s="1"/>
  <c r="M22" i="1" s="1"/>
  <c r="G124" i="1"/>
  <c r="T21" i="1" s="1"/>
  <c r="U21" i="1" s="1"/>
  <c r="F124" i="1"/>
  <c r="R21" i="1" s="1"/>
  <c r="S21" i="1" s="1"/>
  <c r="E124" i="1"/>
  <c r="P21" i="1" s="1"/>
  <c r="Q21" i="1" s="1"/>
  <c r="D124" i="1"/>
  <c r="N21" i="1" s="1"/>
  <c r="O21" i="1" s="1"/>
  <c r="C124" i="1"/>
  <c r="L21" i="1" s="1"/>
  <c r="M21" i="1" s="1"/>
  <c r="G118" i="1"/>
  <c r="T20" i="1" s="1"/>
  <c r="U20" i="1" s="1"/>
  <c r="F118" i="1"/>
  <c r="R20" i="1" s="1"/>
  <c r="S20" i="1" s="1"/>
  <c r="E118" i="1"/>
  <c r="P20" i="1" s="1"/>
  <c r="Q20" i="1" s="1"/>
  <c r="D118" i="1"/>
  <c r="N20" i="1" s="1"/>
  <c r="O20" i="1" s="1"/>
  <c r="C118" i="1"/>
  <c r="L20" i="1" s="1"/>
  <c r="M20" i="1" s="1"/>
  <c r="D112" i="1"/>
  <c r="N19" i="1" s="1"/>
  <c r="O19" i="1" s="1"/>
  <c r="E112" i="1"/>
  <c r="P19" i="1" s="1"/>
  <c r="Q19" i="1" s="1"/>
  <c r="F112" i="1"/>
  <c r="R19" i="1" s="1"/>
  <c r="S19" i="1" s="1"/>
  <c r="G112" i="1"/>
  <c r="T19" i="1" s="1"/>
  <c r="U19" i="1" s="1"/>
  <c r="C112" i="1"/>
  <c r="L19" i="1" s="1"/>
  <c r="M19" i="1" s="1"/>
  <c r="D107" i="1"/>
  <c r="N18" i="1" s="1"/>
  <c r="O18" i="1" s="1"/>
  <c r="E107" i="1"/>
  <c r="P18" i="1" s="1"/>
  <c r="Q18" i="1" s="1"/>
  <c r="F107" i="1"/>
  <c r="R18" i="1" s="1"/>
  <c r="S18" i="1" s="1"/>
  <c r="G107" i="1"/>
  <c r="T18" i="1" s="1"/>
  <c r="U18" i="1" s="1"/>
  <c r="C107" i="1"/>
  <c r="L18" i="1" s="1"/>
  <c r="M18" i="1" s="1"/>
  <c r="G103" i="1"/>
  <c r="T17" i="1" s="1"/>
  <c r="U17" i="1" s="1"/>
  <c r="F103" i="1"/>
  <c r="R17" i="1" s="1"/>
  <c r="S17" i="1" s="1"/>
  <c r="E103" i="1"/>
  <c r="P17" i="1" s="1"/>
  <c r="Q17" i="1" s="1"/>
  <c r="D103" i="1"/>
  <c r="N17" i="1" s="1"/>
  <c r="O17" i="1" s="1"/>
  <c r="C103" i="1"/>
  <c r="L17" i="1" s="1"/>
  <c r="M17" i="1" s="1"/>
  <c r="N16" i="1"/>
  <c r="O16" i="1" s="1"/>
  <c r="E99" i="1"/>
  <c r="P16" i="1" s="1"/>
  <c r="Q16" i="1" s="1"/>
  <c r="F99" i="1"/>
  <c r="R16" i="1" s="1"/>
  <c r="S16" i="1" s="1"/>
  <c r="T16" i="1"/>
  <c r="U16" i="1" s="1"/>
  <c r="C99" i="1"/>
  <c r="L16" i="1" s="1"/>
  <c r="M16" i="1" s="1"/>
  <c r="D89" i="1"/>
  <c r="E89" i="1"/>
  <c r="E80" i="1" s="1"/>
  <c r="P15" i="1" s="1"/>
  <c r="Q15" i="1" s="1"/>
  <c r="F89" i="1"/>
  <c r="G89" i="1"/>
  <c r="C89" i="1"/>
  <c r="F81" i="1"/>
  <c r="E81" i="1"/>
  <c r="D81" i="1"/>
  <c r="F75" i="1"/>
  <c r="R14" i="1" s="1"/>
  <c r="S14" i="1" s="1"/>
  <c r="D71" i="1"/>
  <c r="N13" i="1" s="1"/>
  <c r="O13" i="1" s="1"/>
  <c r="E71" i="1"/>
  <c r="F71" i="1"/>
  <c r="R13" i="1" s="1"/>
  <c r="S13" i="1" s="1"/>
  <c r="G71" i="1"/>
  <c r="T13" i="1" s="1"/>
  <c r="U13" i="1" s="1"/>
  <c r="C71" i="1"/>
  <c r="L13" i="1" s="1"/>
  <c r="M13" i="1" s="1"/>
  <c r="P12" i="1"/>
  <c r="Q12" i="1" s="1"/>
  <c r="R12" i="1"/>
  <c r="S12" i="1" s="1"/>
  <c r="F60" i="1"/>
  <c r="D52" i="1"/>
  <c r="E52" i="1"/>
  <c r="G52" i="1"/>
  <c r="D46" i="1"/>
  <c r="E46" i="1"/>
  <c r="F46" i="1"/>
  <c r="G46" i="1"/>
  <c r="C46" i="1"/>
  <c r="D32" i="1"/>
  <c r="N9" i="1" s="1"/>
  <c r="O9" i="1" s="1"/>
  <c r="E32" i="1"/>
  <c r="F32" i="1"/>
  <c r="G32" i="1"/>
  <c r="T9" i="1" s="1"/>
  <c r="U9" i="1" s="1"/>
  <c r="C32" i="1"/>
  <c r="L9" i="1" s="1"/>
  <c r="M9" i="1" s="1"/>
  <c r="D25" i="1"/>
  <c r="E25" i="1"/>
  <c r="F25" i="1"/>
  <c r="G25" i="1"/>
  <c r="C25" i="1"/>
  <c r="D17" i="1"/>
  <c r="E17" i="1"/>
  <c r="F17" i="1"/>
  <c r="G17" i="1"/>
  <c r="C17" i="1"/>
  <c r="D11" i="1"/>
  <c r="D10" i="1" s="1"/>
  <c r="N8" i="1" s="1"/>
  <c r="O8" i="1" s="1"/>
  <c r="E11" i="1"/>
  <c r="F11" i="1"/>
  <c r="G11" i="1"/>
  <c r="C11" i="1"/>
  <c r="C10" i="1" s="1"/>
  <c r="L8" i="1" s="1"/>
  <c r="M8" i="1" s="1"/>
  <c r="F10" i="1"/>
  <c r="R8" i="1" s="1"/>
  <c r="S8" i="1" s="1"/>
  <c r="D6" i="1"/>
  <c r="N7" i="1" s="1"/>
  <c r="O7" i="1" s="1"/>
  <c r="E6" i="1"/>
  <c r="F6" i="1"/>
  <c r="G6" i="1"/>
  <c r="T7" i="1" s="1"/>
  <c r="U7" i="1" s="1"/>
  <c r="C6" i="1"/>
  <c r="L7" i="1" s="1"/>
  <c r="M7" i="1" s="1"/>
  <c r="P7" i="1"/>
  <c r="Q7" i="1" s="1"/>
  <c r="R7" i="1"/>
  <c r="S7" i="1" s="1"/>
  <c r="P9" i="1"/>
  <c r="Q9" i="1" s="1"/>
  <c r="R9" i="1"/>
  <c r="S9" i="1" s="1"/>
  <c r="N12" i="1"/>
  <c r="O12" i="1" s="1"/>
  <c r="P13" i="1"/>
  <c r="Q13" i="1" s="1"/>
  <c r="L12" i="1"/>
  <c r="M12" i="1" s="1"/>
  <c r="K24" i="1"/>
  <c r="AH13" i="1"/>
  <c r="AH14" i="1"/>
  <c r="AH15" i="1"/>
  <c r="AH12" i="1"/>
  <c r="AH10" i="1"/>
  <c r="AH8" i="1"/>
  <c r="AH7" i="1"/>
  <c r="AH6" i="1"/>
  <c r="AJ110" i="1"/>
  <c r="AK110" i="1"/>
  <c r="AL110" i="1"/>
  <c r="AM110" i="1"/>
  <c r="AI110" i="1"/>
  <c r="AJ105" i="1"/>
  <c r="AK105" i="1"/>
  <c r="AL105" i="1"/>
  <c r="AM105" i="1"/>
  <c r="AI105" i="1"/>
  <c r="AI81" i="1"/>
  <c r="AJ81" i="1"/>
  <c r="AK81" i="1"/>
  <c r="AL81" i="1"/>
  <c r="AM81" i="1"/>
  <c r="AI82" i="1"/>
  <c r="AJ82" i="1"/>
  <c r="AK82" i="1"/>
  <c r="AL82" i="1"/>
  <c r="AM82" i="1"/>
  <c r="AJ80" i="1"/>
  <c r="AK80" i="1"/>
  <c r="AL80" i="1"/>
  <c r="AM80" i="1"/>
  <c r="AI80" i="1"/>
  <c r="AI72" i="1"/>
  <c r="AI124" i="1" s="1"/>
  <c r="AJ72" i="1"/>
  <c r="AJ124" i="1" s="1"/>
  <c r="AK72" i="1"/>
  <c r="AK124" i="1" s="1"/>
  <c r="AL72" i="1"/>
  <c r="AL124" i="1" s="1"/>
  <c r="AM72" i="1"/>
  <c r="AM124" i="1" s="1"/>
  <c r="AI73" i="1"/>
  <c r="AI125" i="1" s="1"/>
  <c r="AJ73" i="1"/>
  <c r="AJ125" i="1" s="1"/>
  <c r="AK73" i="1"/>
  <c r="AK125" i="1" s="1"/>
  <c r="AL73" i="1"/>
  <c r="AL125" i="1" s="1"/>
  <c r="AM73" i="1"/>
  <c r="AM125" i="1" s="1"/>
  <c r="AI74" i="1"/>
  <c r="AI126" i="1" s="1"/>
  <c r="AJ74" i="1"/>
  <c r="AJ126" i="1" s="1"/>
  <c r="AK74" i="1"/>
  <c r="AK126" i="1" s="1"/>
  <c r="AL74" i="1"/>
  <c r="AL126" i="1" s="1"/>
  <c r="AM74" i="1"/>
  <c r="AM126" i="1" s="1"/>
  <c r="AI75" i="1"/>
  <c r="AI127" i="1" s="1"/>
  <c r="AJ75" i="1"/>
  <c r="AJ127" i="1" s="1"/>
  <c r="AK75" i="1"/>
  <c r="AK127" i="1" s="1"/>
  <c r="AL75" i="1"/>
  <c r="AL127" i="1" s="1"/>
  <c r="AM75" i="1"/>
  <c r="AM127" i="1" s="1"/>
  <c r="AI76" i="1"/>
  <c r="AI128" i="1" s="1"/>
  <c r="AJ76" i="1"/>
  <c r="AJ128" i="1" s="1"/>
  <c r="AK76" i="1"/>
  <c r="AK128" i="1" s="1"/>
  <c r="AL76" i="1"/>
  <c r="AL128" i="1" s="1"/>
  <c r="AM76" i="1"/>
  <c r="AM128" i="1" s="1"/>
  <c r="AJ71" i="1"/>
  <c r="AJ123" i="1" s="1"/>
  <c r="AK71" i="1"/>
  <c r="AK123" i="1" s="1"/>
  <c r="AL71" i="1"/>
  <c r="AL123" i="1" s="1"/>
  <c r="AM71" i="1"/>
  <c r="AM123" i="1" s="1"/>
  <c r="AI71" i="1"/>
  <c r="AI123" i="1" s="1"/>
  <c r="AI60" i="1"/>
  <c r="AJ60" i="1"/>
  <c r="AK60" i="1"/>
  <c r="AM60" i="1"/>
  <c r="AI61" i="1"/>
  <c r="AJ61" i="1"/>
  <c r="AK61" i="1"/>
  <c r="AL61" i="1"/>
  <c r="AM61" i="1"/>
  <c r="AI62" i="1"/>
  <c r="AJ62" i="1"/>
  <c r="AK62" i="1"/>
  <c r="AL62" i="1"/>
  <c r="AM62" i="1"/>
  <c r="AJ59" i="1"/>
  <c r="AK59" i="1"/>
  <c r="AL59" i="1"/>
  <c r="AM59" i="1"/>
  <c r="AI59" i="1"/>
  <c r="AJ38" i="1"/>
  <c r="AK38" i="1"/>
  <c r="AL38" i="1"/>
  <c r="AM38" i="1"/>
  <c r="AI38" i="1"/>
  <c r="AJ32" i="1"/>
  <c r="AJ37" i="1" s="1"/>
  <c r="AK32" i="1"/>
  <c r="AK37" i="1" s="1"/>
  <c r="AL32" i="1"/>
  <c r="AL37" i="1" s="1"/>
  <c r="AM32" i="1"/>
  <c r="AM37" i="1" s="1"/>
  <c r="AI32" i="1"/>
  <c r="AI37" i="1" s="1"/>
  <c r="AC143" i="1"/>
  <c r="AC142" i="1"/>
  <c r="AC141" i="1"/>
  <c r="G81" i="1" l="1"/>
  <c r="G80" i="1" s="1"/>
  <c r="T15" i="1" s="1"/>
  <c r="U15" i="1" s="1"/>
  <c r="D40" i="1"/>
  <c r="D39" i="1" s="1"/>
  <c r="N10" i="1" s="1"/>
  <c r="O10" i="1" s="1"/>
  <c r="E40" i="1"/>
  <c r="E39" i="1" s="1"/>
  <c r="P10" i="1" s="1"/>
  <c r="Q10" i="1" s="1"/>
  <c r="C60" i="1"/>
  <c r="D51" i="1"/>
  <c r="N11" i="1" s="1"/>
  <c r="O11" i="1" s="1"/>
  <c r="C81" i="1"/>
  <c r="G10" i="1"/>
  <c r="T8" i="1" s="1"/>
  <c r="U8" i="1" s="1"/>
  <c r="F51" i="1"/>
  <c r="R11" i="1" s="1"/>
  <c r="S11" i="1" s="1"/>
  <c r="S24" i="1" s="1"/>
  <c r="G40" i="1"/>
  <c r="G39" i="1" s="1"/>
  <c r="T10" i="1" s="1"/>
  <c r="U10" i="1" s="1"/>
  <c r="G60" i="1"/>
  <c r="E75" i="1"/>
  <c r="P14" i="1" s="1"/>
  <c r="Q14" i="1" s="1"/>
  <c r="C52" i="1"/>
  <c r="C51" i="1" s="1"/>
  <c r="L11" i="1" s="1"/>
  <c r="M11" i="1" s="1"/>
  <c r="F80" i="1"/>
  <c r="R15" i="1" s="1"/>
  <c r="S15" i="1" s="1"/>
  <c r="D80" i="1"/>
  <c r="N15" i="1" s="1"/>
  <c r="O15" i="1" s="1"/>
  <c r="O24" i="1" s="1"/>
  <c r="C80" i="1"/>
  <c r="L15" i="1" s="1"/>
  <c r="M15" i="1" s="1"/>
  <c r="G51" i="1"/>
  <c r="T11" i="1" s="1"/>
  <c r="U11" i="1" s="1"/>
  <c r="U24" i="1" s="1"/>
  <c r="E10" i="1"/>
  <c r="P8" i="1" s="1"/>
  <c r="Q8" i="1" s="1"/>
  <c r="AH153" i="1"/>
  <c r="Q24" i="1"/>
  <c r="M24" i="1" l="1"/>
</calcChain>
</file>

<file path=xl/sharedStrings.xml><?xml version="1.0" encoding="utf-8"?>
<sst xmlns="http://schemas.openxmlformats.org/spreadsheetml/2006/main" count="280" uniqueCount="129">
  <si>
    <t>benötigte Verfahrwege</t>
  </si>
  <si>
    <t>Ersatzteilbedarf</t>
  </si>
  <si>
    <t>Einsatzdauer</t>
  </si>
  <si>
    <t>Fehleranfälligkeit</t>
  </si>
  <si>
    <t>A</t>
  </si>
  <si>
    <t>X</t>
  </si>
  <si>
    <t>Y</t>
  </si>
  <si>
    <t>Z</t>
  </si>
  <si>
    <t>Leistungsbedarf</t>
  </si>
  <si>
    <t>Zielwert</t>
  </si>
  <si>
    <t>Teilnutzwert</t>
  </si>
  <si>
    <t>Anschaffungskosten</t>
  </si>
  <si>
    <t>Betriebskosten</t>
  </si>
  <si>
    <t>Wartungsaufwand</t>
  </si>
  <si>
    <t>Arbeitsgeschwindigkeit</t>
  </si>
  <si>
    <t>Wartungsintervalle</t>
  </si>
  <si>
    <t>Kollisionswahrscheinlichkeit</t>
  </si>
  <si>
    <t>Werkzeuggeschwindigkeit</t>
  </si>
  <si>
    <t>Kriterium</t>
  </si>
  <si>
    <t>Gewichtung</t>
  </si>
  <si>
    <t>gesamt</t>
  </si>
  <si>
    <t>Platz</t>
  </si>
  <si>
    <t>B</t>
  </si>
  <si>
    <t>Erklärung</t>
  </si>
  <si>
    <t>Infrastrukturkosten</t>
  </si>
  <si>
    <t>Drohnenkosten</t>
  </si>
  <si>
    <t>Teilekosten</t>
  </si>
  <si>
    <t>Entwicklungskosten Hardware</t>
  </si>
  <si>
    <t>Komplexität des Antriebkonzeptes</t>
  </si>
  <si>
    <t>Etablierung des Antriebkonzeptes</t>
  </si>
  <si>
    <t>Komplexität des Erneverfahrens</t>
  </si>
  <si>
    <t>Etablierung des Ernteverfahrens</t>
  </si>
  <si>
    <t>Komplexität des Säverfahrens</t>
  </si>
  <si>
    <t>Entwicklungskosten Software</t>
  </si>
  <si>
    <t>Bewegungsfreiheitsgrade der Drohne</t>
  </si>
  <si>
    <t>Wiederholgenauigkeit des Fahrweges</t>
  </si>
  <si>
    <t>Abweichungswahrscheinlichkeit in der Position (Drift)</t>
  </si>
  <si>
    <t>Fahrtenplanung</t>
  </si>
  <si>
    <t>Kollisionswahrscheinlichkeit mit kritischen Objekten</t>
  </si>
  <si>
    <t>Sichtweite der Drohne</t>
  </si>
  <si>
    <t>Fortbewegung</t>
  </si>
  <si>
    <t>Ansteuerbarkeit des Antriebes</t>
  </si>
  <si>
    <t xml:space="preserve"> in Bezug auf die Bewegungsfreiheitsgrade der Drohne</t>
  </si>
  <si>
    <t>Ernteablauf</t>
  </si>
  <si>
    <t>Ansteuerungsgenauigkeit des Arms</t>
  </si>
  <si>
    <t>Bedienung der Werkzeuge</t>
  </si>
  <si>
    <t>Säablauf</t>
  </si>
  <si>
    <t>Leistungsbedarf des Antriebes</t>
  </si>
  <si>
    <t>Leisungsbedarf der Ernefunktion</t>
  </si>
  <si>
    <t>Leistungsbedarf der Säfunktion</t>
  </si>
  <si>
    <t>Etablierung des Säverfahrens</t>
  </si>
  <si>
    <t>Teilekosten des Antriebes</t>
  </si>
  <si>
    <t>Teilekosten der Erntewerkzeuge</t>
  </si>
  <si>
    <t>Teielkosten der Säwerkzeuge</t>
  </si>
  <si>
    <t>Teilekosten des Gehäuses</t>
  </si>
  <si>
    <t>Das selbe wie in späteren Punkt</t>
  </si>
  <si>
    <t>Verschleiß des Antriebes</t>
  </si>
  <si>
    <t>Verschleiß der Erntewerkzeuge</t>
  </si>
  <si>
    <t>Verschleiß des Säwerkzeuge</t>
  </si>
  <si>
    <t>Austauschintervalle</t>
  </si>
  <si>
    <t>Platzausnutzung</t>
  </si>
  <si>
    <t>Bewegunsfreiheit der Drohne</t>
  </si>
  <si>
    <t>Belegter Anbauraum</t>
  </si>
  <si>
    <t>Algenanbaudichte</t>
  </si>
  <si>
    <t>Platzbaedarf der Drohne</t>
  </si>
  <si>
    <t>Platzbaedarf der Infrastruktur</t>
  </si>
  <si>
    <t>Behinderung durch Infrastruktur</t>
  </si>
  <si>
    <t>Stromversorgung</t>
  </si>
  <si>
    <t>Volumen der Transportbehälter</t>
  </si>
  <si>
    <t>Algensamen/Algensetzlinge</t>
  </si>
  <si>
    <t>Geerntete Algen</t>
  </si>
  <si>
    <t>Sägeschwindigkeit</t>
  </si>
  <si>
    <t>Erntegeschwindigkeit</t>
  </si>
  <si>
    <t>Verfahrgeschwindigkeit</t>
  </si>
  <si>
    <t>Drohnenverlustrisiko</t>
  </si>
  <si>
    <t>Verschließ</t>
  </si>
  <si>
    <t>Wiederfindbarkeit der Drohne</t>
  </si>
  <si>
    <t>Bindung der Drohne ans Feld</t>
  </si>
  <si>
    <t>Fehlerquellen</t>
  </si>
  <si>
    <t>Fehlerquellen in der Hardware</t>
  </si>
  <si>
    <t>Fehlerquellen in der Software</t>
  </si>
  <si>
    <t>Komplexität der Orientierung</t>
  </si>
  <si>
    <t>Etablierung der Orientierung</t>
  </si>
  <si>
    <t>Komplexität des Fahrtenplanung</t>
  </si>
  <si>
    <t>Etablierung des Fahrtenplanung</t>
  </si>
  <si>
    <t>Komplexität des Ernteablaufes</t>
  </si>
  <si>
    <t>Etablierung des Säablaufes</t>
  </si>
  <si>
    <t>Komplexität des Säablaufes</t>
  </si>
  <si>
    <t>Etablierung des Ernteablaufes</t>
  </si>
  <si>
    <t>Wartungsbedarf</t>
  </si>
  <si>
    <t>1 = hinderlich</t>
  </si>
  <si>
    <t>10 = förderlich</t>
  </si>
  <si>
    <t>Teilekosten der Säwerkzeuge</t>
  </si>
  <si>
    <t>Wiederholgenauigkeit des Fahrweges relativ zur Alge</t>
  </si>
  <si>
    <t>Summe</t>
  </si>
  <si>
    <t>Bewertung</t>
  </si>
  <si>
    <t>Betriebsdauer</t>
  </si>
  <si>
    <t>Akkuladebedarf</t>
  </si>
  <si>
    <t>Kollisonsmöglichkeit</t>
  </si>
  <si>
    <t>Verschleiß</t>
  </si>
  <si>
    <t>mögliche Fehlerquellen</t>
  </si>
  <si>
    <t>Bewegungsgeschwindigkeit</t>
  </si>
  <si>
    <t>ungenutzter Anbauraum</t>
  </si>
  <si>
    <t>Entwicklungsaufwand der Infrastruktur</t>
  </si>
  <si>
    <t>Teilekosten der Infrastruktur</t>
  </si>
  <si>
    <t>Orientierung auf dem Feld</t>
  </si>
  <si>
    <t>Fortbewegungsregelung</t>
  </si>
  <si>
    <t>Auswirkung unentdeckter Schäden</t>
  </si>
  <si>
    <t>Möglichkeit unentdeckter Schäden</t>
  </si>
  <si>
    <t>Leistungsverbrauch</t>
  </si>
  <si>
    <t>Akkukapazität</t>
  </si>
  <si>
    <t>max. Betriebsdauer</t>
  </si>
  <si>
    <t>Reinigungsintervalle</t>
  </si>
  <si>
    <t>Volumen des Algensammelbehälters</t>
  </si>
  <si>
    <t>Volumen des Sporenbehälters</t>
  </si>
  <si>
    <t>Erntewerkzeuggeschwindigkeit</t>
  </si>
  <si>
    <t>Säwerkzeuggeschwindigkeit</t>
  </si>
  <si>
    <t>Erntearmverfahrweg</t>
  </si>
  <si>
    <t>Säarmverfahrweg</t>
  </si>
  <si>
    <t>Leergewicht der Drohne</t>
  </si>
  <si>
    <t>Fahrtenkorrekturbedarf der Drohne</t>
  </si>
  <si>
    <t>Kollisionsmöglichkeiten der Drohne</t>
  </si>
  <si>
    <t>Streckenbekanntheit</t>
  </si>
  <si>
    <t>Platzbedarf der Infrastruktur</t>
  </si>
  <si>
    <t>Platzbedarf zum Manövieren der Drohne</t>
  </si>
  <si>
    <t>Aufbau der Infrastruktur</t>
  </si>
  <si>
    <t>Platzbedarf der Drohne</t>
  </si>
  <si>
    <t>Komplexität der Fahrtenregelung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</si>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</sst>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3" fillId="0" borderId="0" xfId="0" applyFont="1"/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49" fontId="0" fillId="0" borderId="6" xfId="0" applyNumberFormat="1" applyBorder="1"/>
    <xf numFmtId="49" fontId="1" fillId="0" borderId="7" xfId="0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9" fontId="0" fillId="0" borderId="10" xfId="0" applyNumberFormat="1" applyBorder="1"/>
    <xf numFmtId="0" fontId="0" fillId="0" borderId="11" xfId="0" applyBorder="1"/>
    <xf numFmtId="0" fontId="1" fillId="0" borderId="1" xfId="0" applyFont="1" applyBorder="1"/>
    <xf numFmtId="0" fontId="0" fillId="0" borderId="1" xfId="0" applyFont="1" applyBorder="1"/>
    <xf numFmtId="0" fontId="0" fillId="0" borderId="11" xfId="0" applyFont="1" applyBorder="1"/>
    <xf numFmtId="165" fontId="1" fillId="0" borderId="9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4D99-0B04-462E-9756-34C70A2DBC0E}">
  <dimension ref="A1:AR277"/>
  <sheetViews>
    <sheetView showGridLines="0" tabSelected="1" zoomScale="85" zoomScaleNormal="85" workbookViewId="0">
      <selection activeCell="A5" sqref="A5:G130"/>
    </sheetView>
  </sheetViews>
  <sheetFormatPr baseColWidth="10" defaultRowHeight="14.4" x14ac:dyDescent="0.3"/>
  <cols>
    <col min="1" max="1" width="37.109375" customWidth="1"/>
    <col min="2" max="2" width="38.44140625" customWidth="1"/>
    <col min="8" max="8" width="10.33203125" customWidth="1"/>
    <col min="10" max="10" width="23.44140625" customWidth="1"/>
    <col min="29" max="29" width="28.44140625" customWidth="1"/>
    <col min="30" max="30" width="30.88671875" customWidth="1"/>
    <col min="31" max="31" width="36.109375" customWidth="1"/>
    <col min="32" max="32" width="46.88671875" customWidth="1"/>
    <col min="33" max="33" width="41" customWidth="1"/>
  </cols>
  <sheetData>
    <row r="1" spans="1:44" x14ac:dyDescent="0.3">
      <c r="AH1" t="s">
        <v>90</v>
      </c>
      <c r="AI1" t="s">
        <v>91</v>
      </c>
    </row>
    <row r="3" spans="1:44" x14ac:dyDescent="0.3">
      <c r="AG3" t="s">
        <v>23</v>
      </c>
      <c r="AH3" t="s">
        <v>19</v>
      </c>
      <c r="AI3" s="9" t="s">
        <v>5</v>
      </c>
      <c r="AK3" s="9" t="s">
        <v>6</v>
      </c>
      <c r="AM3" s="9" t="s">
        <v>7</v>
      </c>
      <c r="AO3" s="9" t="s">
        <v>4</v>
      </c>
      <c r="AQ3" s="9" t="s">
        <v>22</v>
      </c>
    </row>
    <row r="4" spans="1:44" x14ac:dyDescent="0.3">
      <c r="AI4" s="9" t="s">
        <v>95</v>
      </c>
      <c r="AJ4" s="9"/>
      <c r="AK4" s="9" t="s">
        <v>95</v>
      </c>
      <c r="AL4" s="9"/>
      <c r="AM4" s="9" t="s">
        <v>95</v>
      </c>
      <c r="AN4" s="9"/>
      <c r="AO4" s="9" t="s">
        <v>95</v>
      </c>
      <c r="AP4" s="9"/>
      <c r="AQ4" s="9" t="s">
        <v>95</v>
      </c>
      <c r="AR4" s="9"/>
    </row>
    <row r="5" spans="1:44" x14ac:dyDescent="0.3">
      <c r="A5" s="21"/>
      <c r="B5" s="36"/>
      <c r="C5" s="22" t="s">
        <v>5</v>
      </c>
      <c r="D5" s="22" t="s">
        <v>6</v>
      </c>
      <c r="E5" s="22" t="s">
        <v>7</v>
      </c>
      <c r="F5" s="22" t="s">
        <v>4</v>
      </c>
      <c r="G5" s="22" t="s">
        <v>22</v>
      </c>
      <c r="K5" s="5"/>
      <c r="L5" t="s">
        <v>5</v>
      </c>
      <c r="M5" s="5"/>
      <c r="N5" t="s">
        <v>6</v>
      </c>
      <c r="O5" s="5"/>
      <c r="P5" t="s">
        <v>7</v>
      </c>
      <c r="Q5" s="5"/>
      <c r="R5" t="s">
        <v>4</v>
      </c>
      <c r="S5" s="8"/>
      <c r="T5" t="s">
        <v>22</v>
      </c>
      <c r="AC5" s="3" t="s">
        <v>11</v>
      </c>
      <c r="AH5">
        <v>0.09</v>
      </c>
      <c r="AI5" s="9"/>
      <c r="AJ5" s="9"/>
      <c r="AK5" s="9"/>
      <c r="AL5" s="9"/>
      <c r="AM5" s="9"/>
      <c r="AN5" s="9"/>
      <c r="AO5" s="9"/>
      <c r="AP5" s="9"/>
      <c r="AQ5" s="9"/>
      <c r="AR5" s="9"/>
    </row>
    <row r="6" spans="1:44" ht="15" thickBot="1" x14ac:dyDescent="0.35">
      <c r="A6" s="23" t="s">
        <v>24</v>
      </c>
      <c r="B6" s="37"/>
      <c r="C6" s="34">
        <f>AVERAGE(C7:C8)</f>
        <v>10</v>
      </c>
      <c r="D6" s="34">
        <f t="shared" ref="D6:G6" si="0">AVERAGE(D7:D8)</f>
        <v>4.5</v>
      </c>
      <c r="E6" s="34">
        <f t="shared" si="0"/>
        <v>10</v>
      </c>
      <c r="F6" s="34">
        <f t="shared" si="0"/>
        <v>4.5</v>
      </c>
      <c r="G6" s="41">
        <f t="shared" si="0"/>
        <v>4.5</v>
      </c>
      <c r="J6" s="7" t="s">
        <v>18</v>
      </c>
      <c r="K6" s="6" t="s">
        <v>19</v>
      </c>
      <c r="L6" s="24" t="s">
        <v>9</v>
      </c>
      <c r="M6" s="25" t="s">
        <v>10</v>
      </c>
      <c r="N6" s="24" t="s">
        <v>9</v>
      </c>
      <c r="O6" s="25" t="s">
        <v>10</v>
      </c>
      <c r="P6" s="24" t="s">
        <v>9</v>
      </c>
      <c r="Q6" s="25" t="s">
        <v>10</v>
      </c>
      <c r="R6" s="24" t="s">
        <v>9</v>
      </c>
      <c r="S6" s="26" t="s">
        <v>10</v>
      </c>
      <c r="T6" s="24" t="s">
        <v>9</v>
      </c>
      <c r="U6" s="24" t="s">
        <v>10</v>
      </c>
      <c r="AC6" s="1"/>
      <c r="AD6" t="s">
        <v>24</v>
      </c>
      <c r="AH6">
        <f>AH5*0.5</f>
        <v>4.4999999999999998E-2</v>
      </c>
      <c r="AI6" s="9"/>
      <c r="AJ6" s="9"/>
      <c r="AK6" s="9"/>
      <c r="AL6" s="9"/>
      <c r="AN6" s="9"/>
      <c r="AP6" s="9"/>
      <c r="AQ6" s="9"/>
      <c r="AR6" s="9"/>
    </row>
    <row r="7" spans="1:44" x14ac:dyDescent="0.3">
      <c r="B7" s="5" t="s">
        <v>103</v>
      </c>
      <c r="C7" s="27">
        <v>10</v>
      </c>
      <c r="D7" s="27">
        <v>8</v>
      </c>
      <c r="E7" s="27">
        <v>10</v>
      </c>
      <c r="F7" s="27">
        <v>1</v>
      </c>
      <c r="G7" s="27">
        <v>8</v>
      </c>
      <c r="J7" s="1" t="s">
        <v>24</v>
      </c>
      <c r="K7" s="17">
        <v>4.4999999999999998E-2</v>
      </c>
      <c r="L7" s="29">
        <f>C6</f>
        <v>10</v>
      </c>
      <c r="M7" s="30">
        <f>$K7*L7</f>
        <v>0.44999999999999996</v>
      </c>
      <c r="N7" s="29">
        <f>D6</f>
        <v>4.5</v>
      </c>
      <c r="O7" s="30">
        <f>$K7*N7</f>
        <v>0.20249999999999999</v>
      </c>
      <c r="P7" s="29">
        <f>E6</f>
        <v>10</v>
      </c>
      <c r="Q7" s="30">
        <f>$K7*P7</f>
        <v>0.44999999999999996</v>
      </c>
      <c r="R7" s="29">
        <f>F6</f>
        <v>4.5</v>
      </c>
      <c r="S7" s="31">
        <f>$K7*R7</f>
        <v>0.20249999999999999</v>
      </c>
      <c r="T7" s="29">
        <f>G6</f>
        <v>4.5</v>
      </c>
      <c r="U7" s="29">
        <f>$K7*T7</f>
        <v>0.20249999999999999</v>
      </c>
      <c r="AC7" s="1"/>
      <c r="AE7" t="s">
        <v>103</v>
      </c>
      <c r="AH7">
        <f>AH6*0.5</f>
        <v>2.2499999999999999E-2</v>
      </c>
      <c r="AI7" s="9">
        <v>10</v>
      </c>
      <c r="AJ7" s="9">
        <v>8</v>
      </c>
      <c r="AK7" s="9">
        <v>10</v>
      </c>
      <c r="AL7" s="9">
        <v>1</v>
      </c>
      <c r="AM7" s="9">
        <v>8</v>
      </c>
      <c r="AN7" s="9"/>
      <c r="AP7" s="9"/>
      <c r="AR7" s="9"/>
    </row>
    <row r="8" spans="1:44" x14ac:dyDescent="0.3">
      <c r="B8" s="5" t="s">
        <v>104</v>
      </c>
      <c r="C8" s="27">
        <v>10</v>
      </c>
      <c r="D8" s="27">
        <v>1</v>
      </c>
      <c r="E8" s="27">
        <v>10</v>
      </c>
      <c r="F8" s="27">
        <v>8</v>
      </c>
      <c r="G8" s="27">
        <v>1</v>
      </c>
      <c r="J8" s="1" t="s">
        <v>25</v>
      </c>
      <c r="K8" s="17">
        <v>4.4999999999999998E-2</v>
      </c>
      <c r="L8" s="29">
        <f>C10</f>
        <v>6.3555555555555552</v>
      </c>
      <c r="M8" s="30">
        <f t="shared" ref="M8:M22" si="1">$K8*L8</f>
        <v>0.28599999999999998</v>
      </c>
      <c r="N8" s="29">
        <f>D10</f>
        <v>8.5666666666666682</v>
      </c>
      <c r="O8" s="30">
        <f t="shared" ref="O8:O22" si="2">$K8*N8</f>
        <v>0.38550000000000006</v>
      </c>
      <c r="P8" s="29">
        <f>E10</f>
        <v>6.5777777777777784</v>
      </c>
      <c r="Q8" s="30">
        <f t="shared" ref="Q8:Q22" si="3">$K8*P8</f>
        <v>0.29600000000000004</v>
      </c>
      <c r="R8" s="29">
        <f>F10</f>
        <v>6.8888888888888893</v>
      </c>
      <c r="S8" s="31">
        <f t="shared" ref="S8:S22" si="4">$K8*R8</f>
        <v>0.31</v>
      </c>
      <c r="T8" s="29">
        <f>G10</f>
        <v>8.7888888888888879</v>
      </c>
      <c r="U8" s="29">
        <f t="shared" ref="U8:U22" si="5">$K8*T8</f>
        <v>0.39549999999999996</v>
      </c>
      <c r="AE8" t="s">
        <v>104</v>
      </c>
      <c r="AH8">
        <f>AH6*0.5</f>
        <v>2.2499999999999999E-2</v>
      </c>
      <c r="AI8" s="9">
        <v>10</v>
      </c>
      <c r="AJ8" s="9">
        <v>1</v>
      </c>
      <c r="AK8" s="9">
        <v>10</v>
      </c>
      <c r="AL8" s="9">
        <v>8</v>
      </c>
      <c r="AM8" s="9">
        <v>1</v>
      </c>
      <c r="AN8" s="9"/>
      <c r="AP8" s="9"/>
      <c r="AR8" s="9"/>
    </row>
    <row r="9" spans="1:44" x14ac:dyDescent="0.3">
      <c r="B9" s="5"/>
      <c r="C9" s="27"/>
      <c r="D9" s="27"/>
      <c r="E9" s="27"/>
      <c r="F9" s="27"/>
      <c r="G9" s="27"/>
      <c r="J9" s="1" t="s">
        <v>8</v>
      </c>
      <c r="K9" s="17">
        <v>4.2000000000000003E-2</v>
      </c>
      <c r="L9" s="29">
        <f>C32</f>
        <v>7.666666666666667</v>
      </c>
      <c r="M9" s="30">
        <f t="shared" si="1"/>
        <v>0.32200000000000001</v>
      </c>
      <c r="N9" s="29">
        <f>D32</f>
        <v>8.6666666666666661</v>
      </c>
      <c r="O9" s="30">
        <f t="shared" si="2"/>
        <v>0.36399999999999999</v>
      </c>
      <c r="P9" s="29">
        <f>E32</f>
        <v>5</v>
      </c>
      <c r="Q9" s="30">
        <f t="shared" si="3"/>
        <v>0.21000000000000002</v>
      </c>
      <c r="R9" s="29">
        <f>F32</f>
        <v>8.3333333333333339</v>
      </c>
      <c r="S9" s="31">
        <f t="shared" si="4"/>
        <v>0.35000000000000003</v>
      </c>
      <c r="T9" s="29">
        <f>G32</f>
        <v>6</v>
      </c>
      <c r="U9" s="29">
        <f t="shared" si="5"/>
        <v>0.252</v>
      </c>
      <c r="AI9" s="9"/>
      <c r="AJ9" s="9"/>
      <c r="AK9" s="9"/>
      <c r="AL9" s="9"/>
      <c r="AM9" s="9"/>
      <c r="AN9" s="9"/>
      <c r="AP9" s="9"/>
      <c r="AR9" s="9"/>
    </row>
    <row r="10" spans="1:44" x14ac:dyDescent="0.3">
      <c r="A10" s="23" t="s">
        <v>25</v>
      </c>
      <c r="B10" s="37"/>
      <c r="C10" s="34">
        <f>AVERAGE(C11,C17,C25)</f>
        <v>6.3555555555555552</v>
      </c>
      <c r="D10" s="34">
        <f t="shared" ref="D10:G10" si="6">AVERAGE(D11,D17,D25)</f>
        <v>8.5666666666666682</v>
      </c>
      <c r="E10" s="34">
        <f t="shared" si="6"/>
        <v>6.5777777777777784</v>
      </c>
      <c r="F10" s="34">
        <f t="shared" si="6"/>
        <v>6.8888888888888893</v>
      </c>
      <c r="G10" s="41">
        <f t="shared" si="6"/>
        <v>8.7888888888888879</v>
      </c>
      <c r="J10" s="1" t="s">
        <v>1</v>
      </c>
      <c r="K10" s="17">
        <v>6.3E-2</v>
      </c>
      <c r="L10" s="29">
        <f>C39</f>
        <v>8.5</v>
      </c>
      <c r="M10" s="30">
        <f t="shared" si="1"/>
        <v>0.53549999999999998</v>
      </c>
      <c r="N10" s="29">
        <f>D39</f>
        <v>8.3333333333333339</v>
      </c>
      <c r="O10" s="30">
        <f t="shared" si="2"/>
        <v>0.52500000000000002</v>
      </c>
      <c r="P10" s="29">
        <f>E39</f>
        <v>8.75</v>
      </c>
      <c r="Q10" s="30">
        <f t="shared" si="3"/>
        <v>0.55125000000000002</v>
      </c>
      <c r="R10" s="29">
        <f>F39</f>
        <v>9.1666666666666679</v>
      </c>
      <c r="S10" s="31">
        <f t="shared" si="4"/>
        <v>0.57750000000000012</v>
      </c>
      <c r="T10" s="29">
        <f>G39</f>
        <v>8.5833333333333321</v>
      </c>
      <c r="U10" s="29">
        <f t="shared" si="5"/>
        <v>0.54074999999999995</v>
      </c>
      <c r="AD10" t="s">
        <v>25</v>
      </c>
      <c r="AH10">
        <f>AH5*0.5</f>
        <v>4.4999999999999998E-2</v>
      </c>
      <c r="AI10" s="9"/>
      <c r="AJ10" s="9"/>
      <c r="AK10" s="9"/>
      <c r="AL10" s="9"/>
      <c r="AM10" s="9"/>
      <c r="AN10" s="9"/>
      <c r="AP10" s="9"/>
      <c r="AR10" s="9"/>
    </row>
    <row r="11" spans="1:44" x14ac:dyDescent="0.3">
      <c r="B11" s="38" t="s">
        <v>26</v>
      </c>
      <c r="C11" s="33">
        <f>AVERAGE(C12:C15)</f>
        <v>9</v>
      </c>
      <c r="D11" s="33">
        <f t="shared" ref="D11:G11" si="7">AVERAGE(D12:D15)</f>
        <v>9</v>
      </c>
      <c r="E11" s="33">
        <f t="shared" si="7"/>
        <v>8.5</v>
      </c>
      <c r="F11" s="33">
        <f t="shared" si="7"/>
        <v>10</v>
      </c>
      <c r="G11" s="33">
        <f t="shared" si="7"/>
        <v>8.5</v>
      </c>
      <c r="J11" s="1" t="s">
        <v>13</v>
      </c>
      <c r="K11" s="17">
        <v>0.185</v>
      </c>
      <c r="L11" s="29">
        <f>C51</f>
        <v>7.2</v>
      </c>
      <c r="M11" s="30">
        <f t="shared" si="1"/>
        <v>1.3320000000000001</v>
      </c>
      <c r="N11" s="29">
        <f>D51</f>
        <v>7.8166666666666664</v>
      </c>
      <c r="O11" s="30">
        <f t="shared" si="2"/>
        <v>1.4460833333333332</v>
      </c>
      <c r="P11" s="29">
        <f>E51</f>
        <v>7.4166666666666661</v>
      </c>
      <c r="Q11" s="30">
        <f t="shared" si="3"/>
        <v>1.3720833333333331</v>
      </c>
      <c r="R11" s="29">
        <f>F51</f>
        <v>7.4</v>
      </c>
      <c r="S11" s="31">
        <f t="shared" si="4"/>
        <v>1.369</v>
      </c>
      <c r="T11" s="29">
        <f>G51</f>
        <v>8.0333333333333332</v>
      </c>
      <c r="U11" s="29">
        <f t="shared" si="5"/>
        <v>1.4861666666666666</v>
      </c>
      <c r="AE11" s="13" t="s">
        <v>26</v>
      </c>
      <c r="AH11">
        <v>1</v>
      </c>
      <c r="AI11" s="9"/>
      <c r="AJ11" s="9"/>
      <c r="AK11" s="9"/>
      <c r="AL11" s="9"/>
      <c r="AM11" s="9"/>
      <c r="AN11" s="9"/>
      <c r="AP11" s="9"/>
      <c r="AR11" s="9"/>
    </row>
    <row r="12" spans="1:44" x14ac:dyDescent="0.3">
      <c r="B12" s="5" t="s">
        <v>51</v>
      </c>
      <c r="C12" s="27">
        <v>7</v>
      </c>
      <c r="D12" s="27">
        <v>10</v>
      </c>
      <c r="E12" s="27">
        <v>7</v>
      </c>
      <c r="F12" s="27">
        <v>10</v>
      </c>
      <c r="G12" s="27">
        <v>10</v>
      </c>
      <c r="J12" s="1" t="s">
        <v>98</v>
      </c>
      <c r="K12" s="17">
        <v>9.6000000000000002E-2</v>
      </c>
      <c r="L12" s="29">
        <f>C67</f>
        <v>1.5</v>
      </c>
      <c r="M12" s="30">
        <f t="shared" si="1"/>
        <v>0.14400000000000002</v>
      </c>
      <c r="N12" s="29">
        <f>D67</f>
        <v>10</v>
      </c>
      <c r="O12" s="30">
        <f t="shared" si="2"/>
        <v>0.96</v>
      </c>
      <c r="P12" s="29">
        <f>E67</f>
        <v>1.5</v>
      </c>
      <c r="Q12" s="30">
        <f t="shared" si="3"/>
        <v>0.14400000000000002</v>
      </c>
      <c r="R12" s="29">
        <f>F67</f>
        <v>1</v>
      </c>
      <c r="S12" s="31">
        <f t="shared" si="4"/>
        <v>9.6000000000000002E-2</v>
      </c>
      <c r="T12" s="29">
        <f>G67</f>
        <v>10</v>
      </c>
      <c r="U12" s="29">
        <f t="shared" si="5"/>
        <v>0.96</v>
      </c>
      <c r="AE12" t="s">
        <v>51</v>
      </c>
      <c r="AH12">
        <f>$AH$10*0.25</f>
        <v>1.125E-2</v>
      </c>
      <c r="AI12" s="9">
        <v>7</v>
      </c>
      <c r="AJ12" s="9">
        <v>10</v>
      </c>
      <c r="AK12" s="9">
        <v>7</v>
      </c>
      <c r="AL12" s="9">
        <v>10</v>
      </c>
      <c r="AM12" s="9">
        <v>10</v>
      </c>
      <c r="AN12" s="9"/>
      <c r="AP12" s="9"/>
      <c r="AR12" s="9"/>
    </row>
    <row r="13" spans="1:44" x14ac:dyDescent="0.3">
      <c r="B13" s="5" t="s">
        <v>52</v>
      </c>
      <c r="C13" s="27">
        <v>10</v>
      </c>
      <c r="D13" s="27">
        <v>10</v>
      </c>
      <c r="E13" s="27">
        <v>9</v>
      </c>
      <c r="F13" s="27">
        <v>10</v>
      </c>
      <c r="G13" s="27">
        <v>9</v>
      </c>
      <c r="J13" s="1" t="s">
        <v>74</v>
      </c>
      <c r="K13" s="17">
        <v>9.6000000000000002E-2</v>
      </c>
      <c r="L13" s="29">
        <f>C71</f>
        <v>2.5</v>
      </c>
      <c r="M13" s="30">
        <f t="shared" si="1"/>
        <v>0.24</v>
      </c>
      <c r="N13" s="29">
        <f>D71</f>
        <v>8</v>
      </c>
      <c r="O13" s="30">
        <f t="shared" si="2"/>
        <v>0.76800000000000002</v>
      </c>
      <c r="P13" s="29">
        <f>E71</f>
        <v>2.5</v>
      </c>
      <c r="Q13" s="30">
        <f t="shared" si="3"/>
        <v>0.24</v>
      </c>
      <c r="R13" s="29">
        <f>F71</f>
        <v>4</v>
      </c>
      <c r="S13" s="31">
        <f t="shared" si="4"/>
        <v>0.38400000000000001</v>
      </c>
      <c r="T13" s="29">
        <f>G71</f>
        <v>8</v>
      </c>
      <c r="U13" s="29">
        <f t="shared" si="5"/>
        <v>0.76800000000000002</v>
      </c>
      <c r="AE13" t="s">
        <v>52</v>
      </c>
      <c r="AH13">
        <f t="shared" ref="AH13:AH15" si="8">$AH$10*0.25</f>
        <v>1.125E-2</v>
      </c>
      <c r="AI13" s="9">
        <v>10</v>
      </c>
      <c r="AJ13" s="9">
        <v>10</v>
      </c>
      <c r="AK13" s="9">
        <v>9</v>
      </c>
      <c r="AL13" s="9">
        <v>10</v>
      </c>
      <c r="AM13" s="9">
        <v>9</v>
      </c>
      <c r="AN13" s="9"/>
      <c r="AP13" s="9"/>
      <c r="AR13" s="9"/>
    </row>
    <row r="14" spans="1:44" x14ac:dyDescent="0.3">
      <c r="B14" s="5" t="s">
        <v>92</v>
      </c>
      <c r="C14" s="27">
        <v>10</v>
      </c>
      <c r="D14" s="27">
        <v>10</v>
      </c>
      <c r="E14" s="27">
        <v>9</v>
      </c>
      <c r="F14" s="27">
        <v>10</v>
      </c>
      <c r="G14" s="27">
        <v>9</v>
      </c>
      <c r="J14" s="1" t="s">
        <v>99</v>
      </c>
      <c r="K14" s="17">
        <v>3.2000000000000001E-2</v>
      </c>
      <c r="L14" s="29">
        <f>C75</f>
        <v>8</v>
      </c>
      <c r="M14" s="30">
        <f t="shared" si="1"/>
        <v>0.25600000000000001</v>
      </c>
      <c r="N14" s="29">
        <f>D75</f>
        <v>7.666666666666667</v>
      </c>
      <c r="O14" s="30">
        <f t="shared" si="2"/>
        <v>0.24533333333333335</v>
      </c>
      <c r="P14" s="29">
        <f>E75</f>
        <v>9</v>
      </c>
      <c r="Q14" s="30">
        <f t="shared" si="3"/>
        <v>0.28800000000000003</v>
      </c>
      <c r="R14" s="29">
        <f>F75</f>
        <v>8.3333333333333339</v>
      </c>
      <c r="S14" s="31">
        <f t="shared" si="4"/>
        <v>0.26666666666666672</v>
      </c>
      <c r="T14" s="29">
        <f>G75</f>
        <v>8.6666666666666661</v>
      </c>
      <c r="U14" s="29">
        <f t="shared" si="5"/>
        <v>0.27733333333333332</v>
      </c>
      <c r="AE14" t="s">
        <v>92</v>
      </c>
      <c r="AH14">
        <f t="shared" si="8"/>
        <v>1.125E-2</v>
      </c>
      <c r="AI14" s="9">
        <v>10</v>
      </c>
      <c r="AJ14" s="9">
        <v>10</v>
      </c>
      <c r="AK14" s="9">
        <v>9</v>
      </c>
      <c r="AL14" s="9">
        <v>10</v>
      </c>
      <c r="AM14" s="9">
        <v>9</v>
      </c>
      <c r="AN14" s="9"/>
      <c r="AP14" s="9"/>
      <c r="AR14" s="9"/>
    </row>
    <row r="15" spans="1:44" x14ac:dyDescent="0.3">
      <c r="B15" s="5" t="s">
        <v>54</v>
      </c>
      <c r="C15" s="27">
        <v>9</v>
      </c>
      <c r="D15" s="27">
        <v>6</v>
      </c>
      <c r="E15" s="27">
        <v>9</v>
      </c>
      <c r="F15" s="27">
        <v>10</v>
      </c>
      <c r="G15" s="27">
        <v>6</v>
      </c>
      <c r="J15" s="1" t="s">
        <v>100</v>
      </c>
      <c r="K15" s="17">
        <v>9.6000000000000002E-2</v>
      </c>
      <c r="L15" s="29">
        <f>C80</f>
        <v>6</v>
      </c>
      <c r="M15" s="30">
        <f t="shared" si="1"/>
        <v>0.57600000000000007</v>
      </c>
      <c r="N15" s="29">
        <f>D80</f>
        <v>8.4166666666666679</v>
      </c>
      <c r="O15" s="30">
        <f t="shared" si="2"/>
        <v>0.80800000000000016</v>
      </c>
      <c r="P15" s="29">
        <f>E80</f>
        <v>6.4791666666666661</v>
      </c>
      <c r="Q15" s="30">
        <f t="shared" si="3"/>
        <v>0.622</v>
      </c>
      <c r="R15" s="29">
        <f>F80</f>
        <v>7.125</v>
      </c>
      <c r="S15" s="31">
        <f t="shared" si="4"/>
        <v>0.68400000000000005</v>
      </c>
      <c r="T15" s="29">
        <f>G80</f>
        <v>8.8958333333333321</v>
      </c>
      <c r="U15" s="29">
        <f t="shared" si="5"/>
        <v>0.85399999999999987</v>
      </c>
      <c r="AE15" t="s">
        <v>54</v>
      </c>
      <c r="AH15">
        <f t="shared" si="8"/>
        <v>1.125E-2</v>
      </c>
      <c r="AI15" s="9">
        <v>9</v>
      </c>
      <c r="AJ15" s="9">
        <v>6</v>
      </c>
      <c r="AK15" s="9">
        <v>9</v>
      </c>
      <c r="AL15" s="9">
        <v>10</v>
      </c>
      <c r="AM15" s="9">
        <v>6</v>
      </c>
      <c r="AN15" s="9"/>
      <c r="AP15" s="9"/>
      <c r="AR15" s="9"/>
    </row>
    <row r="16" spans="1:44" x14ac:dyDescent="0.3">
      <c r="B16" s="5"/>
      <c r="C16" s="27"/>
      <c r="D16" s="27"/>
      <c r="E16" s="27"/>
      <c r="F16" s="27"/>
      <c r="G16" s="27"/>
      <c r="J16" s="1" t="s">
        <v>97</v>
      </c>
      <c r="K16" s="17">
        <v>4.2000000000000003E-2</v>
      </c>
      <c r="L16" s="29">
        <f>C99</f>
        <v>6</v>
      </c>
      <c r="M16" s="30">
        <f t="shared" si="1"/>
        <v>0.252</v>
      </c>
      <c r="N16" s="29">
        <f>D99</f>
        <v>10</v>
      </c>
      <c r="O16" s="30">
        <f t="shared" si="2"/>
        <v>0.42000000000000004</v>
      </c>
      <c r="P16" s="29">
        <f>E99</f>
        <v>6</v>
      </c>
      <c r="Q16" s="30">
        <f t="shared" si="3"/>
        <v>0.252</v>
      </c>
      <c r="R16" s="29">
        <f>F99</f>
        <v>8.5</v>
      </c>
      <c r="S16" s="31">
        <f t="shared" si="4"/>
        <v>0.35700000000000004</v>
      </c>
      <c r="T16" s="29">
        <f>G99</f>
        <v>10</v>
      </c>
      <c r="U16" s="29">
        <f t="shared" si="5"/>
        <v>0.42000000000000004</v>
      </c>
      <c r="AH16">
        <v>1</v>
      </c>
      <c r="AI16" s="9"/>
      <c r="AJ16" s="9"/>
      <c r="AK16" s="9"/>
      <c r="AL16" s="9"/>
      <c r="AM16" s="9"/>
      <c r="AN16" s="9"/>
      <c r="AP16" s="9"/>
      <c r="AR16" s="9"/>
    </row>
    <row r="17" spans="1:44" x14ac:dyDescent="0.3">
      <c r="B17" s="38" t="s">
        <v>27</v>
      </c>
      <c r="C17" s="33">
        <f>AVERAGE(C18:C23)</f>
        <v>7</v>
      </c>
      <c r="D17" s="33">
        <f t="shared" ref="D17:G17" si="9">AVERAGE(D18:D23)</f>
        <v>8.8333333333333339</v>
      </c>
      <c r="E17" s="33">
        <f t="shared" si="9"/>
        <v>6.833333333333333</v>
      </c>
      <c r="F17" s="33">
        <f t="shared" si="9"/>
        <v>8</v>
      </c>
      <c r="G17" s="33">
        <f t="shared" si="9"/>
        <v>8.6666666666666661</v>
      </c>
      <c r="J17" s="1" t="s">
        <v>111</v>
      </c>
      <c r="K17" s="17">
        <v>1.7999999999999999E-2</v>
      </c>
      <c r="L17" s="29">
        <f>C103</f>
        <v>8</v>
      </c>
      <c r="M17" s="30">
        <f t="shared" si="1"/>
        <v>0.14399999999999999</v>
      </c>
      <c r="N17" s="29">
        <f>D103</f>
        <v>5</v>
      </c>
      <c r="O17" s="30">
        <f t="shared" si="2"/>
        <v>0.09</v>
      </c>
      <c r="P17" s="29">
        <f>E103</f>
        <v>8</v>
      </c>
      <c r="Q17" s="30">
        <f t="shared" si="3"/>
        <v>0.14399999999999999</v>
      </c>
      <c r="R17" s="29">
        <f>F103</f>
        <v>5</v>
      </c>
      <c r="S17" s="31">
        <f t="shared" si="4"/>
        <v>0.09</v>
      </c>
      <c r="T17" s="29">
        <f>G103</f>
        <v>6</v>
      </c>
      <c r="U17" s="29">
        <f t="shared" si="5"/>
        <v>0.10799999999999998</v>
      </c>
      <c r="AE17" s="13" t="s">
        <v>27</v>
      </c>
      <c r="AH17">
        <v>1</v>
      </c>
      <c r="AI17" s="9"/>
      <c r="AJ17" s="9"/>
      <c r="AK17" s="9"/>
      <c r="AL17" s="9"/>
      <c r="AM17" s="9"/>
      <c r="AN17" s="9"/>
      <c r="AP17" s="9"/>
      <c r="AR17" s="9"/>
    </row>
    <row r="18" spans="1:44" x14ac:dyDescent="0.3">
      <c r="B18" s="5" t="s">
        <v>28</v>
      </c>
      <c r="C18" s="27">
        <v>5</v>
      </c>
      <c r="D18" s="27">
        <v>10</v>
      </c>
      <c r="E18" s="27">
        <v>5</v>
      </c>
      <c r="F18" s="27">
        <v>10</v>
      </c>
      <c r="G18" s="27">
        <v>10</v>
      </c>
      <c r="J18" s="1" t="s">
        <v>0</v>
      </c>
      <c r="K18" s="17">
        <v>4.4999999999999998E-2</v>
      </c>
      <c r="L18" s="29">
        <f>C107</f>
        <v>5</v>
      </c>
      <c r="M18" s="30">
        <f t="shared" si="1"/>
        <v>0.22499999999999998</v>
      </c>
      <c r="N18" s="29">
        <f>D107</f>
        <v>8</v>
      </c>
      <c r="O18" s="30">
        <f t="shared" si="2"/>
        <v>0.36</v>
      </c>
      <c r="P18" s="29">
        <f>E107</f>
        <v>8.5</v>
      </c>
      <c r="Q18" s="30">
        <f t="shared" si="3"/>
        <v>0.38250000000000001</v>
      </c>
      <c r="R18" s="29">
        <f>F107</f>
        <v>9</v>
      </c>
      <c r="S18" s="31">
        <f t="shared" si="4"/>
        <v>0.40499999999999997</v>
      </c>
      <c r="T18" s="29">
        <f>G107</f>
        <v>9</v>
      </c>
      <c r="U18" s="29">
        <f t="shared" si="5"/>
        <v>0.40499999999999997</v>
      </c>
      <c r="V18" s="20"/>
      <c r="AE18" t="s">
        <v>28</v>
      </c>
      <c r="AH18">
        <v>1</v>
      </c>
      <c r="AI18" s="9">
        <v>5</v>
      </c>
      <c r="AJ18" s="9">
        <v>10</v>
      </c>
      <c r="AK18" s="9">
        <v>5</v>
      </c>
      <c r="AL18" s="9">
        <v>10</v>
      </c>
      <c r="AM18" s="9">
        <v>10</v>
      </c>
      <c r="AN18" s="9"/>
      <c r="AP18" s="9"/>
      <c r="AR18" s="9"/>
    </row>
    <row r="19" spans="1:44" x14ac:dyDescent="0.3">
      <c r="B19" s="5" t="s">
        <v>29</v>
      </c>
      <c r="C19" s="27">
        <v>8</v>
      </c>
      <c r="D19" s="27">
        <v>10</v>
      </c>
      <c r="E19" s="27">
        <v>8</v>
      </c>
      <c r="F19" s="27">
        <v>9</v>
      </c>
      <c r="G19" s="27">
        <v>10</v>
      </c>
      <c r="J19" s="1" t="s">
        <v>17</v>
      </c>
      <c r="K19" s="17">
        <v>1.7999999999999999E-2</v>
      </c>
      <c r="L19" s="29">
        <f>C112</f>
        <v>5.5</v>
      </c>
      <c r="M19" s="30">
        <f t="shared" si="1"/>
        <v>9.8999999999999991E-2</v>
      </c>
      <c r="N19" s="29">
        <f>D112</f>
        <v>5.5</v>
      </c>
      <c r="O19" s="30">
        <f t="shared" si="2"/>
        <v>9.8999999999999991E-2</v>
      </c>
      <c r="P19" s="29">
        <f>E112</f>
        <v>9</v>
      </c>
      <c r="Q19" s="30">
        <f t="shared" si="3"/>
        <v>0.16199999999999998</v>
      </c>
      <c r="R19" s="29">
        <f>F112</f>
        <v>5.5</v>
      </c>
      <c r="S19" s="31">
        <f t="shared" si="4"/>
        <v>9.8999999999999991E-2</v>
      </c>
      <c r="T19" s="29">
        <f>G112</f>
        <v>9</v>
      </c>
      <c r="U19" s="29">
        <f t="shared" si="5"/>
        <v>0.16199999999999998</v>
      </c>
      <c r="AE19" t="s">
        <v>29</v>
      </c>
      <c r="AH19">
        <v>1</v>
      </c>
      <c r="AI19" s="9">
        <v>8</v>
      </c>
      <c r="AJ19" s="9">
        <v>10</v>
      </c>
      <c r="AK19" s="9">
        <v>8</v>
      </c>
      <c r="AL19" s="9">
        <v>9</v>
      </c>
      <c r="AM19" s="9">
        <v>10</v>
      </c>
      <c r="AN19" s="9"/>
      <c r="AP19" s="9"/>
      <c r="AR19" s="9"/>
    </row>
    <row r="20" spans="1:44" x14ac:dyDescent="0.3">
      <c r="B20" s="5" t="s">
        <v>30</v>
      </c>
      <c r="C20" s="27">
        <v>8</v>
      </c>
      <c r="D20" s="27">
        <v>8</v>
      </c>
      <c r="E20" s="27">
        <v>10</v>
      </c>
      <c r="F20" s="27">
        <v>8</v>
      </c>
      <c r="G20" s="27">
        <v>10</v>
      </c>
      <c r="J20" s="1" t="s">
        <v>101</v>
      </c>
      <c r="K20" s="17">
        <v>2.7E-2</v>
      </c>
      <c r="L20" s="29">
        <f>C118</f>
        <v>5.5</v>
      </c>
      <c r="M20" s="30">
        <f t="shared" si="1"/>
        <v>0.14849999999999999</v>
      </c>
      <c r="N20" s="29">
        <f>D118</f>
        <v>7.5</v>
      </c>
      <c r="O20" s="30">
        <f t="shared" si="2"/>
        <v>0.20249999999999999</v>
      </c>
      <c r="P20" s="29">
        <f>E118</f>
        <v>5.25</v>
      </c>
      <c r="Q20" s="30">
        <f t="shared" si="3"/>
        <v>0.14174999999999999</v>
      </c>
      <c r="R20" s="29">
        <f>F118</f>
        <v>4.25</v>
      </c>
      <c r="S20" s="31">
        <f t="shared" si="4"/>
        <v>0.11475</v>
      </c>
      <c r="T20" s="29">
        <f>G118</f>
        <v>7.75</v>
      </c>
      <c r="U20" s="29">
        <f t="shared" si="5"/>
        <v>0.20924999999999999</v>
      </c>
      <c r="AE20" t="s">
        <v>30</v>
      </c>
      <c r="AH20">
        <v>1</v>
      </c>
      <c r="AI20" s="9">
        <v>8</v>
      </c>
      <c r="AJ20" s="9">
        <v>8</v>
      </c>
      <c r="AK20" s="9">
        <v>10</v>
      </c>
      <c r="AL20" s="9">
        <v>8</v>
      </c>
      <c r="AM20" s="9">
        <v>10</v>
      </c>
      <c r="AN20" s="9"/>
      <c r="AP20" s="9"/>
      <c r="AR20" s="9"/>
    </row>
    <row r="21" spans="1:44" x14ac:dyDescent="0.3">
      <c r="B21" s="5" t="s">
        <v>31</v>
      </c>
      <c r="C21" s="27">
        <v>10</v>
      </c>
      <c r="D21" s="27">
        <v>10</v>
      </c>
      <c r="E21" s="27">
        <v>7</v>
      </c>
      <c r="F21" s="27">
        <v>10</v>
      </c>
      <c r="G21" s="27">
        <v>7</v>
      </c>
      <c r="J21" s="1" t="s">
        <v>102</v>
      </c>
      <c r="K21" s="17">
        <v>7.4999999999999997E-2</v>
      </c>
      <c r="L21" s="29">
        <f>C124</f>
        <v>10</v>
      </c>
      <c r="M21" s="30">
        <f t="shared" si="1"/>
        <v>0.75</v>
      </c>
      <c r="N21" s="29">
        <f>D124</f>
        <v>2.5</v>
      </c>
      <c r="O21" s="30">
        <f t="shared" si="2"/>
        <v>0.1875</v>
      </c>
      <c r="P21" s="29">
        <f>E124</f>
        <v>10</v>
      </c>
      <c r="Q21" s="30">
        <f t="shared" si="3"/>
        <v>0.75</v>
      </c>
      <c r="R21" s="29">
        <f>F124</f>
        <v>7.5</v>
      </c>
      <c r="S21" s="31">
        <f t="shared" si="4"/>
        <v>0.5625</v>
      </c>
      <c r="T21" s="29">
        <f>G124</f>
        <v>2.5</v>
      </c>
      <c r="U21" s="29">
        <f t="shared" si="5"/>
        <v>0.1875</v>
      </c>
      <c r="AE21" t="s">
        <v>31</v>
      </c>
      <c r="AH21">
        <v>1</v>
      </c>
      <c r="AI21" s="9">
        <v>10</v>
      </c>
      <c r="AJ21" s="9">
        <v>10</v>
      </c>
      <c r="AK21" s="9">
        <v>7</v>
      </c>
      <c r="AL21" s="9">
        <v>10</v>
      </c>
      <c r="AM21" s="9">
        <v>7</v>
      </c>
      <c r="AN21" s="9"/>
      <c r="AP21" s="9"/>
      <c r="AR21" s="9"/>
    </row>
    <row r="22" spans="1:44" x14ac:dyDescent="0.3">
      <c r="B22" s="5" t="s">
        <v>32</v>
      </c>
      <c r="C22" s="27">
        <v>6</v>
      </c>
      <c r="D22" s="27">
        <v>10</v>
      </c>
      <c r="E22" s="27">
        <v>6</v>
      </c>
      <c r="F22" s="27">
        <v>6</v>
      </c>
      <c r="G22" s="27">
        <v>10</v>
      </c>
      <c r="J22" s="1" t="s">
        <v>63</v>
      </c>
      <c r="K22" s="17">
        <v>7.4999999999999997E-2</v>
      </c>
      <c r="L22" s="29">
        <f>C128</f>
        <v>9</v>
      </c>
      <c r="M22" s="30">
        <f t="shared" si="1"/>
        <v>0.67499999999999993</v>
      </c>
      <c r="N22" s="29">
        <f>D128</f>
        <v>4</v>
      </c>
      <c r="O22" s="30">
        <f t="shared" si="2"/>
        <v>0.3</v>
      </c>
      <c r="P22" s="29">
        <f>E128</f>
        <v>9</v>
      </c>
      <c r="Q22" s="30">
        <f t="shared" si="3"/>
        <v>0.67499999999999993</v>
      </c>
      <c r="R22" s="29">
        <f>F128</f>
        <v>6.5</v>
      </c>
      <c r="S22" s="31">
        <f t="shared" si="4"/>
        <v>0.48749999999999999</v>
      </c>
      <c r="T22" s="29">
        <f>G128</f>
        <v>4</v>
      </c>
      <c r="U22" s="29">
        <f t="shared" si="5"/>
        <v>0.3</v>
      </c>
      <c r="AE22" t="s">
        <v>32</v>
      </c>
      <c r="AH22">
        <v>1</v>
      </c>
      <c r="AI22" s="9">
        <v>6</v>
      </c>
      <c r="AJ22" s="9">
        <v>10</v>
      </c>
      <c r="AK22" s="9">
        <v>6</v>
      </c>
      <c r="AL22" s="9">
        <v>6</v>
      </c>
      <c r="AM22" s="9">
        <v>10</v>
      </c>
      <c r="AN22" s="9"/>
      <c r="AP22" s="9"/>
      <c r="AR22" s="9"/>
    </row>
    <row r="23" spans="1:44" x14ac:dyDescent="0.3">
      <c r="B23" s="5" t="s">
        <v>50</v>
      </c>
      <c r="C23" s="27">
        <v>5</v>
      </c>
      <c r="D23" s="27">
        <v>5</v>
      </c>
      <c r="E23" s="27">
        <v>5</v>
      </c>
      <c r="F23" s="27">
        <v>5</v>
      </c>
      <c r="G23" s="27">
        <v>5</v>
      </c>
      <c r="K23" s="10"/>
      <c r="L23" s="29"/>
      <c r="M23" s="30"/>
      <c r="N23" s="29"/>
      <c r="O23" s="30"/>
      <c r="P23" s="29"/>
      <c r="Q23" s="30"/>
      <c r="R23" s="29"/>
      <c r="S23" s="31"/>
      <c r="T23" s="29"/>
      <c r="U23" s="29"/>
      <c r="AE23" t="s">
        <v>50</v>
      </c>
      <c r="AH23">
        <v>1</v>
      </c>
      <c r="AI23" s="9">
        <v>5</v>
      </c>
      <c r="AJ23" s="9">
        <v>5</v>
      </c>
      <c r="AK23" s="9">
        <v>5</v>
      </c>
      <c r="AL23" s="9">
        <v>5</v>
      </c>
      <c r="AM23" s="9">
        <v>5</v>
      </c>
      <c r="AN23" s="9"/>
      <c r="AP23" s="9"/>
      <c r="AR23" s="9"/>
    </row>
    <row r="24" spans="1:44" x14ac:dyDescent="0.3">
      <c r="B24" s="5"/>
      <c r="C24" s="27"/>
      <c r="D24" s="27"/>
      <c r="E24" s="27"/>
      <c r="F24" s="27"/>
      <c r="G24" s="27"/>
      <c r="J24" s="1" t="s">
        <v>20</v>
      </c>
      <c r="K24" s="18">
        <f>SUM(K7:K22)</f>
        <v>1</v>
      </c>
      <c r="L24" s="29"/>
      <c r="M24" s="30">
        <f>SUM(M7:M22)</f>
        <v>6.4350000000000005</v>
      </c>
      <c r="N24" s="29"/>
      <c r="O24" s="30">
        <f t="shared" ref="O24" si="10">SUM(O7:O22)</f>
        <v>7.3634166666666658</v>
      </c>
      <c r="P24" s="29"/>
      <c r="Q24" s="30">
        <f t="shared" ref="Q24" si="11">SUM(Q7:Q22)</f>
        <v>6.6805833333333338</v>
      </c>
      <c r="R24" s="29"/>
      <c r="S24" s="31">
        <f t="shared" ref="S24" si="12">SUM(S7:S22)</f>
        <v>6.3554166666666667</v>
      </c>
      <c r="T24" s="29"/>
      <c r="U24" s="32">
        <f>SUM(U7:U22)</f>
        <v>7.5279999999999987</v>
      </c>
      <c r="AH24">
        <v>1</v>
      </c>
      <c r="AI24" s="9"/>
      <c r="AJ24" s="9"/>
      <c r="AK24" s="9"/>
      <c r="AL24" s="9"/>
      <c r="AM24" s="9"/>
      <c r="AN24" s="9"/>
      <c r="AP24" s="9"/>
      <c r="AR24" s="9"/>
    </row>
    <row r="25" spans="1:44" x14ac:dyDescent="0.3">
      <c r="B25" s="38" t="s">
        <v>33</v>
      </c>
      <c r="C25" s="33">
        <f>AVERAGE(C26:C30)</f>
        <v>3.0666666666666669</v>
      </c>
      <c r="D25" s="33">
        <f t="shared" ref="D25:G25" si="13">AVERAGE(D26:D30)</f>
        <v>7.8666666666666671</v>
      </c>
      <c r="E25" s="33">
        <f t="shared" si="13"/>
        <v>4.4000000000000004</v>
      </c>
      <c r="F25" s="33">
        <f t="shared" si="13"/>
        <v>2.666666666666667</v>
      </c>
      <c r="G25" s="33">
        <f t="shared" si="13"/>
        <v>9.1999999999999993</v>
      </c>
      <c r="J25" s="3" t="s">
        <v>21</v>
      </c>
      <c r="K25" s="10"/>
      <c r="L25" s="9"/>
      <c r="M25" s="11">
        <v>4</v>
      </c>
      <c r="N25" s="9"/>
      <c r="O25" s="11">
        <v>2</v>
      </c>
      <c r="P25" s="9"/>
      <c r="Q25" s="11">
        <v>3</v>
      </c>
      <c r="R25" s="9"/>
      <c r="S25" s="12">
        <v>5</v>
      </c>
      <c r="T25" s="9"/>
      <c r="U25" s="19">
        <v>1</v>
      </c>
      <c r="AE25" s="13" t="s">
        <v>33</v>
      </c>
      <c r="AH25">
        <v>1</v>
      </c>
      <c r="AI25" s="9"/>
      <c r="AJ25" s="9"/>
      <c r="AK25" s="9"/>
      <c r="AL25" s="9"/>
      <c r="AM25" s="9"/>
      <c r="AN25" s="9"/>
      <c r="AP25" s="9"/>
      <c r="AR25" s="9"/>
    </row>
    <row r="26" spans="1:44" x14ac:dyDescent="0.3">
      <c r="B26" s="39" t="s">
        <v>105</v>
      </c>
      <c r="C26" s="27">
        <v>1.3333333333333333</v>
      </c>
      <c r="D26" s="27">
        <v>10</v>
      </c>
      <c r="E26" s="27">
        <v>1.3333333333333333</v>
      </c>
      <c r="F26" s="27">
        <v>1</v>
      </c>
      <c r="G26" s="27">
        <v>10</v>
      </c>
      <c r="AE26" s="15" t="s">
        <v>105</v>
      </c>
      <c r="AH26">
        <v>1</v>
      </c>
      <c r="AI26" s="9">
        <f>AVERAGE(AI27:AI29)</f>
        <v>1.3333333333333333</v>
      </c>
      <c r="AJ26" s="9">
        <f t="shared" ref="AJ26:AM26" si="14">AVERAGE(AJ27:AJ29)</f>
        <v>10</v>
      </c>
      <c r="AK26" s="9">
        <f t="shared" si="14"/>
        <v>1.3333333333333333</v>
      </c>
      <c r="AL26" s="9">
        <f t="shared" si="14"/>
        <v>1</v>
      </c>
      <c r="AM26" s="9">
        <f t="shared" si="14"/>
        <v>10</v>
      </c>
      <c r="AN26" s="9"/>
      <c r="AP26" s="9"/>
      <c r="AR26" s="9"/>
    </row>
    <row r="27" spans="1:44" x14ac:dyDescent="0.3">
      <c r="B27" s="39" t="s">
        <v>37</v>
      </c>
      <c r="C27" s="27">
        <v>2.6666666666666665</v>
      </c>
      <c r="D27" s="27">
        <v>8</v>
      </c>
      <c r="E27" s="27">
        <v>2.6666666666666665</v>
      </c>
      <c r="F27" s="27">
        <v>2.3333333333333335</v>
      </c>
      <c r="G27" s="27">
        <v>8</v>
      </c>
      <c r="AF27" s="14" t="s">
        <v>34</v>
      </c>
      <c r="AH27">
        <v>1</v>
      </c>
      <c r="AI27" s="9">
        <v>1</v>
      </c>
      <c r="AJ27" s="9">
        <v>10</v>
      </c>
      <c r="AK27" s="9">
        <v>1</v>
      </c>
      <c r="AL27" s="9">
        <v>1</v>
      </c>
      <c r="AM27" s="9">
        <v>10</v>
      </c>
      <c r="AN27" s="9"/>
      <c r="AP27" s="9"/>
      <c r="AR27" s="9"/>
    </row>
    <row r="28" spans="1:44" x14ac:dyDescent="0.3">
      <c r="B28" s="39" t="s">
        <v>106</v>
      </c>
      <c r="C28" s="27">
        <v>3.3333333333333335</v>
      </c>
      <c r="D28" s="27">
        <v>10</v>
      </c>
      <c r="E28" s="27">
        <v>3.3333333333333335</v>
      </c>
      <c r="F28" s="27">
        <v>2</v>
      </c>
      <c r="G28" s="27">
        <v>10</v>
      </c>
      <c r="AF28" t="s">
        <v>35</v>
      </c>
      <c r="AH28">
        <v>1</v>
      </c>
      <c r="AI28" s="9">
        <v>2</v>
      </c>
      <c r="AJ28" s="9">
        <v>10</v>
      </c>
      <c r="AK28" s="9">
        <v>2</v>
      </c>
      <c r="AL28" s="9">
        <v>1</v>
      </c>
      <c r="AM28" s="9">
        <v>10</v>
      </c>
      <c r="AN28" s="9"/>
      <c r="AP28" s="9"/>
      <c r="AR28" s="9"/>
    </row>
    <row r="29" spans="1:44" x14ac:dyDescent="0.3">
      <c r="B29" s="39" t="s">
        <v>43</v>
      </c>
      <c r="C29" s="27">
        <v>4.333333333333333</v>
      </c>
      <c r="D29" s="27">
        <v>6</v>
      </c>
      <c r="E29" s="27">
        <v>7.666666666666667</v>
      </c>
      <c r="F29" s="27">
        <v>4.333333333333333</v>
      </c>
      <c r="G29" s="27">
        <v>9.3333333333333339</v>
      </c>
      <c r="AF29" t="s">
        <v>36</v>
      </c>
      <c r="AH29">
        <v>1</v>
      </c>
      <c r="AI29" s="9">
        <v>1</v>
      </c>
      <c r="AJ29" s="9">
        <v>10</v>
      </c>
      <c r="AK29" s="9">
        <v>1</v>
      </c>
      <c r="AL29" s="9">
        <v>1</v>
      </c>
      <c r="AM29" s="9">
        <v>10</v>
      </c>
      <c r="AN29" s="9"/>
      <c r="AP29" s="9"/>
      <c r="AR29" s="9"/>
    </row>
    <row r="30" spans="1:44" x14ac:dyDescent="0.3">
      <c r="B30" s="39" t="s">
        <v>46</v>
      </c>
      <c r="C30" s="27">
        <v>3.6666666666666665</v>
      </c>
      <c r="D30" s="27">
        <v>5.333333333333333</v>
      </c>
      <c r="E30" s="27">
        <v>7</v>
      </c>
      <c r="F30" s="27">
        <v>3.6666666666666665</v>
      </c>
      <c r="G30" s="27">
        <v>8.6666666666666661</v>
      </c>
      <c r="AH30">
        <v>1</v>
      </c>
      <c r="AI30" s="9"/>
      <c r="AJ30" s="9"/>
      <c r="AK30" s="9"/>
      <c r="AL30" s="9"/>
      <c r="AM30" s="9"/>
      <c r="AN30" s="9"/>
      <c r="AP30" s="9"/>
      <c r="AR30" s="9"/>
    </row>
    <row r="31" spans="1:44" x14ac:dyDescent="0.3">
      <c r="B31" s="5"/>
      <c r="C31" s="27"/>
      <c r="D31" s="27"/>
      <c r="E31" s="27"/>
      <c r="F31" s="27"/>
      <c r="G31" s="27"/>
      <c r="AE31" s="15" t="s">
        <v>37</v>
      </c>
      <c r="AH31">
        <v>1</v>
      </c>
      <c r="AI31" s="9">
        <f>AVERAGE(AI32:AI34)</f>
        <v>2.6666666666666665</v>
      </c>
      <c r="AJ31" s="9">
        <f t="shared" ref="AJ31" si="15">AVERAGE(AJ32:AJ34)</f>
        <v>8</v>
      </c>
      <c r="AK31" s="9">
        <f t="shared" ref="AK31" si="16">AVERAGE(AK32:AK34)</f>
        <v>2.6666666666666665</v>
      </c>
      <c r="AL31" s="9">
        <f t="shared" ref="AL31" si="17">AVERAGE(AL32:AL34)</f>
        <v>2.3333333333333335</v>
      </c>
      <c r="AM31" s="9">
        <f t="shared" ref="AM31" si="18">AVERAGE(AM32:AM34)</f>
        <v>8</v>
      </c>
      <c r="AN31" s="9"/>
      <c r="AP31" s="9"/>
      <c r="AR31" s="9"/>
    </row>
    <row r="32" spans="1:44" x14ac:dyDescent="0.3">
      <c r="A32" s="23" t="s">
        <v>8</v>
      </c>
      <c r="B32" s="37"/>
      <c r="C32" s="34">
        <f>AVERAGE(C33:C35)</f>
        <v>7.666666666666667</v>
      </c>
      <c r="D32" s="34">
        <f t="shared" ref="D32:G32" si="19">AVERAGE(D33:D35)</f>
        <v>8.6666666666666661</v>
      </c>
      <c r="E32" s="34">
        <f t="shared" si="19"/>
        <v>5</v>
      </c>
      <c r="F32" s="34">
        <f t="shared" si="19"/>
        <v>8.3333333333333339</v>
      </c>
      <c r="G32" s="41">
        <f t="shared" si="19"/>
        <v>6</v>
      </c>
      <c r="AE32" s="15"/>
      <c r="AF32" s="14" t="s">
        <v>34</v>
      </c>
      <c r="AH32">
        <v>1</v>
      </c>
      <c r="AI32" s="9">
        <f>AI27</f>
        <v>1</v>
      </c>
      <c r="AJ32" s="9">
        <f>AJ27</f>
        <v>10</v>
      </c>
      <c r="AK32" s="9">
        <f>AK27</f>
        <v>1</v>
      </c>
      <c r="AL32" s="9">
        <f>AL27</f>
        <v>1</v>
      </c>
      <c r="AM32" s="9">
        <f>AM27</f>
        <v>10</v>
      </c>
      <c r="AN32" s="9"/>
      <c r="AP32" s="9"/>
      <c r="AR32" s="9"/>
    </row>
    <row r="33" spans="1:44" x14ac:dyDescent="0.3">
      <c r="B33" s="5" t="s">
        <v>47</v>
      </c>
      <c r="C33" s="35">
        <v>7</v>
      </c>
      <c r="D33" s="35">
        <v>10</v>
      </c>
      <c r="E33" s="35">
        <v>7</v>
      </c>
      <c r="F33" s="35">
        <v>9</v>
      </c>
      <c r="G33" s="35">
        <v>10</v>
      </c>
      <c r="AE33" s="15"/>
      <c r="AF33" t="s">
        <v>38</v>
      </c>
      <c r="AH33">
        <v>1</v>
      </c>
      <c r="AI33" s="9">
        <v>4</v>
      </c>
      <c r="AJ33" s="9">
        <v>10</v>
      </c>
      <c r="AK33" s="9">
        <v>4</v>
      </c>
      <c r="AL33" s="9">
        <v>2</v>
      </c>
      <c r="AM33" s="9">
        <v>10</v>
      </c>
      <c r="AN33" s="9"/>
      <c r="AP33" s="9"/>
      <c r="AR33" s="9"/>
    </row>
    <row r="34" spans="1:44" x14ac:dyDescent="0.3">
      <c r="B34" s="5" t="s">
        <v>48</v>
      </c>
      <c r="C34" s="27">
        <v>8</v>
      </c>
      <c r="D34" s="27">
        <v>8</v>
      </c>
      <c r="E34" s="27">
        <v>1</v>
      </c>
      <c r="F34" s="27">
        <v>8</v>
      </c>
      <c r="G34" s="27">
        <v>1</v>
      </c>
      <c r="AE34" s="15"/>
      <c r="AF34" t="s">
        <v>39</v>
      </c>
      <c r="AH34">
        <v>1</v>
      </c>
      <c r="AI34" s="9">
        <v>3</v>
      </c>
      <c r="AJ34" s="9">
        <v>4</v>
      </c>
      <c r="AK34" s="9">
        <v>3</v>
      </c>
      <c r="AL34" s="9">
        <v>4</v>
      </c>
      <c r="AM34" s="9">
        <v>4</v>
      </c>
      <c r="AN34" s="9"/>
      <c r="AP34" s="9"/>
      <c r="AR34" s="9"/>
    </row>
    <row r="35" spans="1:44" x14ac:dyDescent="0.3">
      <c r="B35" s="5" t="s">
        <v>49</v>
      </c>
      <c r="C35" s="27">
        <v>8</v>
      </c>
      <c r="D35" s="27">
        <v>8</v>
      </c>
      <c r="E35" s="27">
        <v>7</v>
      </c>
      <c r="F35" s="27">
        <v>8</v>
      </c>
      <c r="G35" s="27">
        <v>7</v>
      </c>
      <c r="AE35" s="15"/>
      <c r="AH35">
        <v>1</v>
      </c>
      <c r="AI35" s="9"/>
      <c r="AJ35" s="9"/>
      <c r="AK35" s="9"/>
      <c r="AL35" s="9"/>
      <c r="AM35" s="9"/>
      <c r="AN35" s="9"/>
      <c r="AP35" s="9"/>
      <c r="AR35" s="9"/>
    </row>
    <row r="36" spans="1:44" x14ac:dyDescent="0.3">
      <c r="B36" s="5"/>
      <c r="C36" s="27"/>
      <c r="D36" s="27"/>
      <c r="E36" s="27"/>
      <c r="F36" s="27"/>
      <c r="G36" s="27"/>
      <c r="AE36" s="15" t="s">
        <v>40</v>
      </c>
      <c r="AH36">
        <v>1</v>
      </c>
      <c r="AI36" s="9">
        <f>AVERAGE(AI37:AI39)</f>
        <v>3.3333333333333335</v>
      </c>
      <c r="AJ36" s="9">
        <f t="shared" ref="AJ36" si="20">AVERAGE(AJ37:AJ39)</f>
        <v>10</v>
      </c>
      <c r="AK36" s="9">
        <f t="shared" ref="AK36" si="21">AVERAGE(AK37:AK39)</f>
        <v>3.3333333333333335</v>
      </c>
      <c r="AL36" s="9">
        <f t="shared" ref="AL36" si="22">AVERAGE(AL37:AL39)</f>
        <v>2</v>
      </c>
      <c r="AM36" s="9">
        <f t="shared" ref="AM36" si="23">AVERAGE(AM37:AM39)</f>
        <v>10</v>
      </c>
      <c r="AN36" s="9"/>
      <c r="AP36" s="9"/>
      <c r="AR36" s="9"/>
    </row>
    <row r="37" spans="1:44" x14ac:dyDescent="0.3">
      <c r="B37" s="39"/>
      <c r="C37" s="27"/>
      <c r="D37" s="27"/>
      <c r="E37" s="27"/>
      <c r="F37" s="27"/>
      <c r="G37" s="27"/>
      <c r="AE37" s="15"/>
      <c r="AF37" s="14" t="s">
        <v>34</v>
      </c>
      <c r="AH37">
        <v>1</v>
      </c>
      <c r="AI37" s="9">
        <f>AI32</f>
        <v>1</v>
      </c>
      <c r="AJ37" s="9">
        <f>AJ32</f>
        <v>10</v>
      </c>
      <c r="AK37" s="9">
        <f>AK32</f>
        <v>1</v>
      </c>
      <c r="AL37" s="9">
        <f>AL32</f>
        <v>1</v>
      </c>
      <c r="AM37" s="9">
        <f>AM32</f>
        <v>10</v>
      </c>
      <c r="AN37" s="9"/>
      <c r="AP37" s="9"/>
      <c r="AR37" s="9"/>
    </row>
    <row r="38" spans="1:44" x14ac:dyDescent="0.3">
      <c r="B38" s="5"/>
      <c r="C38" s="27"/>
      <c r="D38" s="27"/>
      <c r="E38" s="27"/>
      <c r="F38" s="27"/>
      <c r="G38" s="27"/>
      <c r="L38" s="9"/>
      <c r="M38" s="9"/>
      <c r="N38" s="9"/>
      <c r="O38" s="9"/>
      <c r="P38" s="9"/>
      <c r="AE38" s="15"/>
      <c r="AF38" t="s">
        <v>36</v>
      </c>
      <c r="AH38">
        <v>1</v>
      </c>
      <c r="AI38" s="9">
        <f>AI29</f>
        <v>1</v>
      </c>
      <c r="AJ38" s="9">
        <f>AJ29</f>
        <v>10</v>
      </c>
      <c r="AK38" s="9">
        <f>AK29</f>
        <v>1</v>
      </c>
      <c r="AL38" s="9">
        <f>AL29</f>
        <v>1</v>
      </c>
      <c r="AM38" s="9">
        <f>AM29</f>
        <v>10</v>
      </c>
      <c r="AN38" s="9"/>
      <c r="AP38" s="9"/>
      <c r="AR38" s="9"/>
    </row>
    <row r="39" spans="1:44" x14ac:dyDescent="0.3">
      <c r="A39" s="23" t="s">
        <v>1</v>
      </c>
      <c r="B39" s="40"/>
      <c r="C39" s="34">
        <f>AVERAGE(C40,C46)</f>
        <v>8.5</v>
      </c>
      <c r="D39" s="34">
        <f t="shared" ref="D39:G39" si="24">AVERAGE(D40,D46)</f>
        <v>8.3333333333333339</v>
      </c>
      <c r="E39" s="34">
        <f t="shared" si="24"/>
        <v>8.75</v>
      </c>
      <c r="F39" s="34">
        <f t="shared" si="24"/>
        <v>9.1666666666666679</v>
      </c>
      <c r="G39" s="41">
        <f t="shared" si="24"/>
        <v>8.5833333333333321</v>
      </c>
      <c r="L39" s="9"/>
      <c r="M39" s="9"/>
      <c r="N39" s="9"/>
      <c r="O39" s="9"/>
      <c r="P39" s="9"/>
      <c r="AE39" s="15"/>
      <c r="AF39" t="s">
        <v>41</v>
      </c>
      <c r="AG39" t="s">
        <v>42</v>
      </c>
      <c r="AH39">
        <v>1</v>
      </c>
      <c r="AI39" s="9">
        <v>8</v>
      </c>
      <c r="AJ39" s="9">
        <v>10</v>
      </c>
      <c r="AK39" s="9">
        <v>8</v>
      </c>
      <c r="AL39" s="9">
        <v>4</v>
      </c>
      <c r="AM39" s="9">
        <v>10</v>
      </c>
      <c r="AN39" s="9"/>
      <c r="AP39" s="9"/>
      <c r="AR39" s="9"/>
    </row>
    <row r="40" spans="1:44" x14ac:dyDescent="0.3">
      <c r="B40" s="38" t="s">
        <v>26</v>
      </c>
      <c r="C40" s="33">
        <f>AVERAGE(C41:C44)</f>
        <v>9</v>
      </c>
      <c r="D40" s="33">
        <f t="shared" ref="D40:G40" si="25">AVERAGE(D41:D44)</f>
        <v>9</v>
      </c>
      <c r="E40" s="33">
        <f t="shared" si="25"/>
        <v>8.5</v>
      </c>
      <c r="F40" s="33">
        <f t="shared" si="25"/>
        <v>10</v>
      </c>
      <c r="G40" s="33">
        <f t="shared" si="25"/>
        <v>8.5</v>
      </c>
      <c r="L40" s="9"/>
      <c r="M40" s="9"/>
      <c r="N40" s="9"/>
      <c r="O40" s="9"/>
      <c r="P40" s="9"/>
      <c r="AE40" s="15"/>
      <c r="AH40">
        <v>1</v>
      </c>
      <c r="AI40" s="9"/>
      <c r="AJ40" s="9"/>
      <c r="AK40" s="9"/>
      <c r="AL40" s="9"/>
      <c r="AM40" s="9"/>
      <c r="AN40" s="9"/>
      <c r="AP40" s="9"/>
      <c r="AR40" s="9"/>
    </row>
    <row r="41" spans="1:44" x14ac:dyDescent="0.3">
      <c r="B41" s="5" t="s">
        <v>51</v>
      </c>
      <c r="C41" s="27">
        <f>C12</f>
        <v>7</v>
      </c>
      <c r="D41" s="27">
        <f t="shared" ref="D41:G41" si="26">D12</f>
        <v>10</v>
      </c>
      <c r="E41" s="27">
        <f t="shared" si="26"/>
        <v>7</v>
      </c>
      <c r="F41" s="27">
        <f t="shared" si="26"/>
        <v>10</v>
      </c>
      <c r="G41" s="27">
        <f t="shared" si="26"/>
        <v>10</v>
      </c>
      <c r="L41" s="9"/>
      <c r="M41" s="9"/>
      <c r="N41" s="9"/>
      <c r="O41" s="9"/>
      <c r="P41" s="9"/>
      <c r="AE41" s="15" t="s">
        <v>43</v>
      </c>
      <c r="AH41">
        <v>1</v>
      </c>
      <c r="AI41" s="9">
        <f>AVERAGE(AI42:AI44)</f>
        <v>4.333333333333333</v>
      </c>
      <c r="AJ41" s="9">
        <f t="shared" ref="AJ41" si="27">AVERAGE(AJ42:AJ44)</f>
        <v>6</v>
      </c>
      <c r="AK41" s="9">
        <f t="shared" ref="AK41" si="28">AVERAGE(AK42:AK44)</f>
        <v>7.666666666666667</v>
      </c>
      <c r="AL41" s="9">
        <f t="shared" ref="AL41" si="29">AVERAGE(AL42:AL44)</f>
        <v>4.333333333333333</v>
      </c>
      <c r="AM41" s="9">
        <f t="shared" ref="AM41" si="30">AVERAGE(AM42:AM44)</f>
        <v>9.3333333333333339</v>
      </c>
      <c r="AN41" s="9"/>
      <c r="AP41" s="9"/>
      <c r="AR41" s="9"/>
    </row>
    <row r="42" spans="1:44" x14ac:dyDescent="0.3">
      <c r="B42" s="5" t="s">
        <v>52</v>
      </c>
      <c r="C42" s="27">
        <f t="shared" ref="C42:G42" si="31">C13</f>
        <v>10</v>
      </c>
      <c r="D42" s="27">
        <f t="shared" si="31"/>
        <v>10</v>
      </c>
      <c r="E42" s="27">
        <f t="shared" si="31"/>
        <v>9</v>
      </c>
      <c r="F42" s="27">
        <f t="shared" si="31"/>
        <v>10</v>
      </c>
      <c r="G42" s="27">
        <f t="shared" si="31"/>
        <v>9</v>
      </c>
      <c r="L42" s="9"/>
      <c r="M42" s="9"/>
      <c r="N42" s="9"/>
      <c r="O42" s="9"/>
      <c r="P42" s="9"/>
      <c r="AE42" s="15"/>
      <c r="AF42" t="s">
        <v>44</v>
      </c>
      <c r="AH42">
        <v>1</v>
      </c>
      <c r="AI42" s="9">
        <v>1</v>
      </c>
      <c r="AJ42" s="9">
        <v>1</v>
      </c>
      <c r="AK42" s="9">
        <v>10</v>
      </c>
      <c r="AL42" s="9">
        <v>1</v>
      </c>
      <c r="AM42" s="9">
        <v>10</v>
      </c>
      <c r="AN42" s="9"/>
      <c r="AP42" s="9"/>
      <c r="AR42" s="9"/>
    </row>
    <row r="43" spans="1:44" x14ac:dyDescent="0.3">
      <c r="B43" s="5" t="s">
        <v>53</v>
      </c>
      <c r="C43" s="27">
        <f t="shared" ref="C43:G43" si="32">C14</f>
        <v>10</v>
      </c>
      <c r="D43" s="27">
        <f t="shared" si="32"/>
        <v>10</v>
      </c>
      <c r="E43" s="27">
        <f t="shared" si="32"/>
        <v>9</v>
      </c>
      <c r="F43" s="27">
        <f t="shared" si="32"/>
        <v>10</v>
      </c>
      <c r="G43" s="27">
        <f t="shared" si="32"/>
        <v>9</v>
      </c>
      <c r="AE43" s="15"/>
      <c r="AF43" t="s">
        <v>93</v>
      </c>
      <c r="AH43">
        <v>1</v>
      </c>
      <c r="AI43" s="9">
        <v>3</v>
      </c>
      <c r="AJ43" s="9">
        <v>8</v>
      </c>
      <c r="AK43" s="9">
        <v>3</v>
      </c>
      <c r="AL43" s="9">
        <v>3</v>
      </c>
      <c r="AM43" s="9">
        <v>8</v>
      </c>
      <c r="AN43" s="9"/>
      <c r="AP43" s="9"/>
      <c r="AR43" s="9"/>
    </row>
    <row r="44" spans="1:44" x14ac:dyDescent="0.3">
      <c r="B44" s="5" t="s">
        <v>54</v>
      </c>
      <c r="C44" s="27">
        <f t="shared" ref="C44:G44" si="33">C15</f>
        <v>9</v>
      </c>
      <c r="D44" s="27">
        <f t="shared" si="33"/>
        <v>6</v>
      </c>
      <c r="E44" s="27">
        <f t="shared" si="33"/>
        <v>9</v>
      </c>
      <c r="F44" s="27">
        <f t="shared" si="33"/>
        <v>10</v>
      </c>
      <c r="G44" s="27">
        <f t="shared" si="33"/>
        <v>6</v>
      </c>
      <c r="AE44" s="15"/>
      <c r="AF44" t="s">
        <v>45</v>
      </c>
      <c r="AH44">
        <v>1</v>
      </c>
      <c r="AI44" s="9">
        <v>9</v>
      </c>
      <c r="AJ44" s="9">
        <v>9</v>
      </c>
      <c r="AK44" s="9">
        <v>10</v>
      </c>
      <c r="AL44" s="9">
        <v>9</v>
      </c>
      <c r="AM44" s="9">
        <v>10</v>
      </c>
      <c r="AN44" s="9"/>
      <c r="AP44" s="9"/>
      <c r="AR44" s="9"/>
    </row>
    <row r="45" spans="1:44" x14ac:dyDescent="0.3">
      <c r="B45" s="5"/>
      <c r="C45" s="27"/>
      <c r="D45" s="27"/>
      <c r="E45" s="27"/>
      <c r="F45" s="27"/>
      <c r="G45" s="27"/>
      <c r="AE45" s="15"/>
      <c r="AH45">
        <v>1</v>
      </c>
      <c r="AI45" s="9"/>
      <c r="AJ45" s="9"/>
      <c r="AK45" s="9"/>
      <c r="AL45" s="9"/>
      <c r="AM45" s="9"/>
      <c r="AN45" s="9"/>
      <c r="AP45" s="9"/>
      <c r="AR45" s="9"/>
    </row>
    <row r="46" spans="1:44" x14ac:dyDescent="0.3">
      <c r="B46" s="38" t="s">
        <v>59</v>
      </c>
      <c r="C46" s="33">
        <f>AVERAGE(C47:C49)</f>
        <v>8</v>
      </c>
      <c r="D46" s="33">
        <f t="shared" ref="D46:G46" si="34">AVERAGE(D47:D49)</f>
        <v>7.666666666666667</v>
      </c>
      <c r="E46" s="33">
        <f t="shared" si="34"/>
        <v>9</v>
      </c>
      <c r="F46" s="33">
        <f t="shared" si="34"/>
        <v>8.3333333333333339</v>
      </c>
      <c r="G46" s="33">
        <f t="shared" si="34"/>
        <v>8.6666666666666661</v>
      </c>
      <c r="AE46" s="15" t="s">
        <v>46</v>
      </c>
      <c r="AH46">
        <v>1</v>
      </c>
      <c r="AI46" s="9">
        <f>AVERAGE(AI47:AI49)</f>
        <v>3.6666666666666665</v>
      </c>
      <c r="AJ46" s="9">
        <f t="shared" ref="AJ46" si="35">AVERAGE(AJ47:AJ49)</f>
        <v>5.333333333333333</v>
      </c>
      <c r="AK46" s="9">
        <f t="shared" ref="AK46" si="36">AVERAGE(AK47:AK49)</f>
        <v>7</v>
      </c>
      <c r="AL46" s="9">
        <f t="shared" ref="AL46" si="37">AVERAGE(AL47:AL49)</f>
        <v>3.6666666666666665</v>
      </c>
      <c r="AM46" s="9">
        <f t="shared" ref="AM46" si="38">AVERAGE(AM47:AM49)</f>
        <v>8.6666666666666661</v>
      </c>
      <c r="AN46" s="9"/>
      <c r="AP46" s="9"/>
      <c r="AR46" s="9"/>
    </row>
    <row r="47" spans="1:44" x14ac:dyDescent="0.3">
      <c r="B47" s="5" t="s">
        <v>56</v>
      </c>
      <c r="C47" s="27">
        <v>9</v>
      </c>
      <c r="D47" s="27">
        <v>8</v>
      </c>
      <c r="E47" s="27">
        <v>9</v>
      </c>
      <c r="F47" s="27">
        <v>10</v>
      </c>
      <c r="G47" s="27">
        <v>8</v>
      </c>
      <c r="AF47" t="s">
        <v>44</v>
      </c>
      <c r="AH47">
        <v>1</v>
      </c>
      <c r="AI47" s="9">
        <v>1</v>
      </c>
      <c r="AJ47" s="9">
        <v>1</v>
      </c>
      <c r="AK47" s="9">
        <v>8</v>
      </c>
      <c r="AL47" s="9">
        <v>1</v>
      </c>
      <c r="AM47" s="9">
        <v>8</v>
      </c>
      <c r="AN47" s="9"/>
      <c r="AP47" s="9"/>
      <c r="AR47" s="9"/>
    </row>
    <row r="48" spans="1:44" x14ac:dyDescent="0.3">
      <c r="B48" s="5" t="s">
        <v>57</v>
      </c>
      <c r="C48" s="27">
        <v>6</v>
      </c>
      <c r="D48" s="27">
        <v>6</v>
      </c>
      <c r="E48" s="27">
        <v>10</v>
      </c>
      <c r="F48" s="27">
        <v>6</v>
      </c>
      <c r="G48" s="27">
        <v>10</v>
      </c>
      <c r="AF48" t="s">
        <v>93</v>
      </c>
      <c r="AH48">
        <v>1</v>
      </c>
      <c r="AI48" s="9">
        <v>3</v>
      </c>
      <c r="AJ48" s="9">
        <v>8</v>
      </c>
      <c r="AK48" s="9">
        <v>3</v>
      </c>
      <c r="AL48" s="9">
        <v>3</v>
      </c>
      <c r="AM48" s="9">
        <v>8</v>
      </c>
      <c r="AN48" s="9"/>
      <c r="AP48" s="9"/>
      <c r="AR48" s="9"/>
    </row>
    <row r="49" spans="1:44" x14ac:dyDescent="0.3">
      <c r="B49" s="5" t="s">
        <v>58</v>
      </c>
      <c r="C49" s="27">
        <v>9</v>
      </c>
      <c r="D49" s="27">
        <v>9</v>
      </c>
      <c r="E49" s="27">
        <v>8</v>
      </c>
      <c r="F49" s="27">
        <v>9</v>
      </c>
      <c r="G49" s="27">
        <v>8</v>
      </c>
      <c r="AF49" t="s">
        <v>45</v>
      </c>
      <c r="AH49">
        <v>1</v>
      </c>
      <c r="AI49" s="9">
        <v>7</v>
      </c>
      <c r="AJ49" s="9">
        <v>7</v>
      </c>
      <c r="AK49" s="9">
        <v>10</v>
      </c>
      <c r="AL49" s="9">
        <v>7</v>
      </c>
      <c r="AM49" s="9">
        <v>10</v>
      </c>
      <c r="AN49" s="9"/>
      <c r="AP49" s="9"/>
      <c r="AR49" s="9"/>
    </row>
    <row r="50" spans="1:44" x14ac:dyDescent="0.3">
      <c r="B50" s="5"/>
      <c r="C50" s="27"/>
      <c r="D50" s="27"/>
      <c r="E50" s="27"/>
      <c r="F50" s="27"/>
      <c r="G50" s="27"/>
      <c r="AH50">
        <v>1</v>
      </c>
      <c r="AI50" s="9"/>
      <c r="AJ50" s="9"/>
      <c r="AK50" s="9"/>
      <c r="AL50" s="9"/>
      <c r="AM50" s="9"/>
      <c r="AN50" s="9"/>
      <c r="AP50" s="9"/>
      <c r="AR50" s="9"/>
    </row>
    <row r="51" spans="1:44" x14ac:dyDescent="0.3">
      <c r="A51" s="23" t="s">
        <v>13</v>
      </c>
      <c r="B51" s="37"/>
      <c r="C51" s="34">
        <f>AVERAGE(C52,C60)</f>
        <v>7.2</v>
      </c>
      <c r="D51" s="34">
        <f t="shared" ref="D51:G51" si="39">AVERAGE(D52,D60)</f>
        <v>7.8166666666666664</v>
      </c>
      <c r="E51" s="34">
        <f t="shared" si="39"/>
        <v>7.4166666666666661</v>
      </c>
      <c r="F51" s="34">
        <f t="shared" si="39"/>
        <v>7.4</v>
      </c>
      <c r="G51" s="41">
        <f t="shared" si="39"/>
        <v>8.0333333333333332</v>
      </c>
      <c r="AC51" s="3" t="s">
        <v>12</v>
      </c>
      <c r="AH51">
        <v>0.21</v>
      </c>
      <c r="AI51" s="9"/>
      <c r="AJ51" s="9"/>
      <c r="AK51" s="9"/>
      <c r="AL51" s="9"/>
      <c r="AM51" s="9"/>
      <c r="AN51" s="9"/>
      <c r="AP51" s="9"/>
      <c r="AR51" s="9"/>
    </row>
    <row r="52" spans="1:44" x14ac:dyDescent="0.3">
      <c r="B52" s="38" t="s">
        <v>13</v>
      </c>
      <c r="C52" s="33">
        <f>AVERAGE(C53:C58)</f>
        <v>7</v>
      </c>
      <c r="D52" s="33">
        <f t="shared" ref="D52:G52" si="40">AVERAGE(D53:D58)</f>
        <v>8.8333333333333339</v>
      </c>
      <c r="E52" s="33">
        <f t="shared" si="40"/>
        <v>6.833333333333333</v>
      </c>
      <c r="F52" s="33">
        <f t="shared" si="40"/>
        <v>8</v>
      </c>
      <c r="G52" s="33">
        <f t="shared" si="40"/>
        <v>8.6666666666666661</v>
      </c>
      <c r="AD52" s="1" t="s">
        <v>8</v>
      </c>
      <c r="AH52">
        <v>1</v>
      </c>
      <c r="AN52" s="9"/>
      <c r="AP52" s="9"/>
      <c r="AR52" s="9"/>
    </row>
    <row r="53" spans="1:44" x14ac:dyDescent="0.3">
      <c r="B53" s="5" t="s">
        <v>28</v>
      </c>
      <c r="C53" s="27">
        <f>C18</f>
        <v>5</v>
      </c>
      <c r="D53" s="27">
        <f t="shared" ref="D53:G53" si="41">D18</f>
        <v>10</v>
      </c>
      <c r="E53" s="27">
        <f t="shared" si="41"/>
        <v>5</v>
      </c>
      <c r="F53" s="27">
        <f t="shared" si="41"/>
        <v>10</v>
      </c>
      <c r="G53" s="27">
        <f t="shared" si="41"/>
        <v>10</v>
      </c>
      <c r="AE53" t="s">
        <v>47</v>
      </c>
      <c r="AH53">
        <v>1</v>
      </c>
      <c r="AI53" s="9">
        <v>7</v>
      </c>
      <c r="AJ53" s="9">
        <v>10</v>
      </c>
      <c r="AK53" s="9">
        <v>7</v>
      </c>
      <c r="AL53" s="9">
        <v>9</v>
      </c>
      <c r="AM53" s="9">
        <v>10</v>
      </c>
      <c r="AN53" s="9"/>
      <c r="AP53" s="9"/>
      <c r="AR53" s="9"/>
    </row>
    <row r="54" spans="1:44" x14ac:dyDescent="0.3">
      <c r="B54" s="5" t="s">
        <v>29</v>
      </c>
      <c r="C54" s="27">
        <f t="shared" ref="C54:G58" si="42">C19</f>
        <v>8</v>
      </c>
      <c r="D54" s="27">
        <f t="shared" si="42"/>
        <v>10</v>
      </c>
      <c r="E54" s="27">
        <f t="shared" si="42"/>
        <v>8</v>
      </c>
      <c r="F54" s="27">
        <f t="shared" si="42"/>
        <v>9</v>
      </c>
      <c r="G54" s="27">
        <f t="shared" si="42"/>
        <v>10</v>
      </c>
      <c r="AE54" t="s">
        <v>48</v>
      </c>
      <c r="AH54">
        <v>1</v>
      </c>
      <c r="AI54" s="9">
        <v>8</v>
      </c>
      <c r="AJ54" s="9">
        <v>8</v>
      </c>
      <c r="AK54" s="9">
        <v>1</v>
      </c>
      <c r="AL54" s="9">
        <v>8</v>
      </c>
      <c r="AM54" s="9">
        <v>1</v>
      </c>
      <c r="AN54" s="9"/>
      <c r="AP54" s="9"/>
      <c r="AR54" s="9"/>
    </row>
    <row r="55" spans="1:44" x14ac:dyDescent="0.3">
      <c r="B55" s="5" t="s">
        <v>30</v>
      </c>
      <c r="C55" s="27">
        <f t="shared" si="42"/>
        <v>8</v>
      </c>
      <c r="D55" s="27">
        <f t="shared" si="42"/>
        <v>8</v>
      </c>
      <c r="E55" s="27">
        <f t="shared" si="42"/>
        <v>10</v>
      </c>
      <c r="F55" s="27">
        <f t="shared" si="42"/>
        <v>8</v>
      </c>
      <c r="G55" s="27">
        <f t="shared" si="42"/>
        <v>10</v>
      </c>
      <c r="AE55" t="s">
        <v>49</v>
      </c>
      <c r="AH55">
        <v>1</v>
      </c>
      <c r="AI55" s="9">
        <v>8</v>
      </c>
      <c r="AJ55" s="9">
        <v>8</v>
      </c>
      <c r="AK55" s="9">
        <v>7</v>
      </c>
      <c r="AL55" s="9">
        <v>8</v>
      </c>
      <c r="AM55" s="9">
        <v>7</v>
      </c>
      <c r="AN55" s="9"/>
      <c r="AP55" s="9"/>
      <c r="AR55" s="9"/>
    </row>
    <row r="56" spans="1:44" x14ac:dyDescent="0.3">
      <c r="B56" s="5" t="s">
        <v>31</v>
      </c>
      <c r="C56" s="27">
        <f t="shared" si="42"/>
        <v>10</v>
      </c>
      <c r="D56" s="27">
        <f t="shared" si="42"/>
        <v>10</v>
      </c>
      <c r="E56" s="27">
        <f t="shared" si="42"/>
        <v>7</v>
      </c>
      <c r="F56" s="27">
        <f t="shared" si="42"/>
        <v>10</v>
      </c>
      <c r="G56" s="27">
        <f t="shared" si="42"/>
        <v>7</v>
      </c>
      <c r="AH56">
        <v>1</v>
      </c>
      <c r="AI56" s="9"/>
      <c r="AJ56" s="9"/>
      <c r="AK56" s="9"/>
      <c r="AL56" s="9"/>
      <c r="AM56" s="9"/>
      <c r="AN56" s="9"/>
      <c r="AP56" s="9"/>
      <c r="AR56" s="9"/>
    </row>
    <row r="57" spans="1:44" x14ac:dyDescent="0.3">
      <c r="B57" s="5" t="s">
        <v>32</v>
      </c>
      <c r="C57" s="27">
        <f t="shared" si="42"/>
        <v>6</v>
      </c>
      <c r="D57" s="27">
        <f t="shared" si="42"/>
        <v>10</v>
      </c>
      <c r="E57" s="27">
        <f t="shared" si="42"/>
        <v>6</v>
      </c>
      <c r="F57" s="27">
        <f t="shared" si="42"/>
        <v>6</v>
      </c>
      <c r="G57" s="27">
        <f t="shared" si="42"/>
        <v>10</v>
      </c>
      <c r="AD57" s="1" t="s">
        <v>1</v>
      </c>
      <c r="AH57">
        <v>1</v>
      </c>
      <c r="AI57" s="9"/>
      <c r="AJ57" s="9"/>
      <c r="AK57" s="9"/>
      <c r="AL57" s="9"/>
      <c r="AM57" s="9"/>
      <c r="AN57" s="9"/>
      <c r="AP57" s="9"/>
      <c r="AR57" s="9"/>
    </row>
    <row r="58" spans="1:44" x14ac:dyDescent="0.3">
      <c r="B58" s="5" t="s">
        <v>50</v>
      </c>
      <c r="C58" s="27">
        <f t="shared" si="42"/>
        <v>5</v>
      </c>
      <c r="D58" s="27">
        <f t="shared" si="42"/>
        <v>5</v>
      </c>
      <c r="E58" s="27">
        <f t="shared" si="42"/>
        <v>5</v>
      </c>
      <c r="F58" s="27">
        <f t="shared" si="42"/>
        <v>5</v>
      </c>
      <c r="G58" s="27">
        <f t="shared" si="42"/>
        <v>5</v>
      </c>
      <c r="AE58" s="15" t="s">
        <v>26</v>
      </c>
      <c r="AH58">
        <v>1</v>
      </c>
      <c r="AI58" s="9"/>
      <c r="AJ58" s="9"/>
      <c r="AK58" s="9"/>
      <c r="AL58" s="9"/>
      <c r="AM58" s="9"/>
      <c r="AN58" s="9"/>
      <c r="AP58" s="9"/>
      <c r="AR58" s="9"/>
    </row>
    <row r="59" spans="1:44" x14ac:dyDescent="0.3">
      <c r="B59" s="5"/>
      <c r="C59" s="27"/>
      <c r="D59" s="27"/>
      <c r="E59" s="27"/>
      <c r="F59" s="27"/>
      <c r="G59" s="27"/>
      <c r="AF59" t="s">
        <v>51</v>
      </c>
      <c r="AH59">
        <v>1</v>
      </c>
      <c r="AI59" s="9">
        <f t="shared" ref="AI59:AM62" si="43">AI12</f>
        <v>7</v>
      </c>
      <c r="AJ59" s="9">
        <f t="shared" si="43"/>
        <v>10</v>
      </c>
      <c r="AK59" s="9">
        <f t="shared" si="43"/>
        <v>7</v>
      </c>
      <c r="AL59" s="9">
        <f t="shared" si="43"/>
        <v>10</v>
      </c>
      <c r="AM59" s="9">
        <f t="shared" si="43"/>
        <v>10</v>
      </c>
      <c r="AN59" s="9"/>
      <c r="AP59" s="9"/>
      <c r="AR59" s="9"/>
    </row>
    <row r="60" spans="1:44" x14ac:dyDescent="0.3">
      <c r="B60" s="38" t="s">
        <v>15</v>
      </c>
      <c r="C60" s="33">
        <f>AVERAGE(C61:C65)</f>
        <v>7.4</v>
      </c>
      <c r="D60" s="33">
        <f t="shared" ref="D60:G60" si="44">AVERAGE(D61:D65)</f>
        <v>6.8</v>
      </c>
      <c r="E60" s="33">
        <f t="shared" si="44"/>
        <v>8</v>
      </c>
      <c r="F60" s="33">
        <f t="shared" si="44"/>
        <v>6.8</v>
      </c>
      <c r="G60" s="33">
        <f t="shared" si="44"/>
        <v>7.4</v>
      </c>
      <c r="AF60" t="s">
        <v>52</v>
      </c>
      <c r="AH60">
        <v>1</v>
      </c>
      <c r="AI60" s="9">
        <f t="shared" si="43"/>
        <v>10</v>
      </c>
      <c r="AJ60" s="9">
        <f t="shared" si="43"/>
        <v>10</v>
      </c>
      <c r="AK60" s="9">
        <f t="shared" si="43"/>
        <v>9</v>
      </c>
      <c r="AL60" s="9">
        <f t="shared" si="43"/>
        <v>10</v>
      </c>
      <c r="AM60" s="9">
        <f t="shared" si="43"/>
        <v>9</v>
      </c>
      <c r="AN60" s="9"/>
      <c r="AP60" s="9"/>
      <c r="AR60" s="9"/>
    </row>
    <row r="61" spans="1:44" x14ac:dyDescent="0.3">
      <c r="B61" s="5" t="s">
        <v>56</v>
      </c>
      <c r="C61" s="27">
        <f>C47</f>
        <v>9</v>
      </c>
      <c r="D61" s="27">
        <f t="shared" ref="D61:G61" si="45">D47</f>
        <v>8</v>
      </c>
      <c r="E61" s="27">
        <f t="shared" si="45"/>
        <v>9</v>
      </c>
      <c r="F61" s="27">
        <f t="shared" si="45"/>
        <v>10</v>
      </c>
      <c r="G61" s="27">
        <f t="shared" si="45"/>
        <v>8</v>
      </c>
      <c r="AF61" t="s">
        <v>53</v>
      </c>
      <c r="AH61">
        <v>1</v>
      </c>
      <c r="AI61" s="9">
        <f t="shared" si="43"/>
        <v>10</v>
      </c>
      <c r="AJ61" s="9">
        <f t="shared" si="43"/>
        <v>10</v>
      </c>
      <c r="AK61" s="9">
        <f t="shared" si="43"/>
        <v>9</v>
      </c>
      <c r="AL61" s="9">
        <f t="shared" si="43"/>
        <v>10</v>
      </c>
      <c r="AM61" s="9">
        <f t="shared" si="43"/>
        <v>9</v>
      </c>
      <c r="AN61" s="9"/>
      <c r="AP61" s="9"/>
      <c r="AR61" s="9"/>
    </row>
    <row r="62" spans="1:44" x14ac:dyDescent="0.3">
      <c r="B62" s="5" t="s">
        <v>57</v>
      </c>
      <c r="C62" s="27">
        <f t="shared" ref="C62:G63" si="46">C48</f>
        <v>6</v>
      </c>
      <c r="D62" s="27">
        <f t="shared" si="46"/>
        <v>6</v>
      </c>
      <c r="E62" s="27">
        <f t="shared" si="46"/>
        <v>10</v>
      </c>
      <c r="F62" s="27">
        <f t="shared" si="46"/>
        <v>6</v>
      </c>
      <c r="G62" s="27">
        <f t="shared" si="46"/>
        <v>10</v>
      </c>
      <c r="AF62" t="s">
        <v>54</v>
      </c>
      <c r="AH62">
        <v>1</v>
      </c>
      <c r="AI62" s="9">
        <f t="shared" si="43"/>
        <v>9</v>
      </c>
      <c r="AJ62" s="9">
        <f t="shared" si="43"/>
        <v>6</v>
      </c>
      <c r="AK62" s="9">
        <f t="shared" si="43"/>
        <v>9</v>
      </c>
      <c r="AL62" s="9">
        <f t="shared" si="43"/>
        <v>10</v>
      </c>
      <c r="AM62" s="9">
        <f t="shared" si="43"/>
        <v>6</v>
      </c>
      <c r="AN62" s="9"/>
      <c r="AP62" s="9"/>
      <c r="AR62" s="9"/>
    </row>
    <row r="63" spans="1:44" x14ac:dyDescent="0.3">
      <c r="B63" s="5" t="s">
        <v>58</v>
      </c>
      <c r="C63" s="27">
        <f t="shared" si="46"/>
        <v>9</v>
      </c>
      <c r="D63" s="27">
        <f t="shared" si="46"/>
        <v>9</v>
      </c>
      <c r="E63" s="27">
        <f t="shared" si="46"/>
        <v>8</v>
      </c>
      <c r="F63" s="27">
        <f t="shared" si="46"/>
        <v>9</v>
      </c>
      <c r="G63" s="27">
        <f t="shared" si="46"/>
        <v>8</v>
      </c>
      <c r="AH63">
        <v>1</v>
      </c>
      <c r="AI63" s="9"/>
      <c r="AJ63" s="9"/>
      <c r="AK63" s="9"/>
      <c r="AL63" s="9"/>
      <c r="AM63" s="9"/>
      <c r="AN63" s="9"/>
      <c r="AP63" s="9"/>
      <c r="AR63" s="9"/>
    </row>
    <row r="64" spans="1:44" x14ac:dyDescent="0.3">
      <c r="B64" s="5" t="s">
        <v>108</v>
      </c>
      <c r="C64" s="27">
        <v>8</v>
      </c>
      <c r="D64" s="27">
        <v>3</v>
      </c>
      <c r="E64" s="27">
        <v>8</v>
      </c>
      <c r="F64" s="27">
        <v>6</v>
      </c>
      <c r="G64" s="27">
        <v>3</v>
      </c>
      <c r="AE64" t="s">
        <v>59</v>
      </c>
      <c r="AH64">
        <v>1</v>
      </c>
      <c r="AI64" s="9"/>
      <c r="AJ64" s="9"/>
      <c r="AK64" s="9"/>
      <c r="AL64" s="9"/>
      <c r="AM64" s="9"/>
      <c r="AN64" s="9"/>
      <c r="AP64" s="9"/>
      <c r="AR64" s="9"/>
    </row>
    <row r="65" spans="1:44" x14ac:dyDescent="0.3">
      <c r="B65" s="5" t="s">
        <v>107</v>
      </c>
      <c r="C65" s="27">
        <v>5</v>
      </c>
      <c r="D65" s="27">
        <v>8</v>
      </c>
      <c r="E65" s="27">
        <v>5</v>
      </c>
      <c r="F65" s="27">
        <v>3</v>
      </c>
      <c r="G65" s="27">
        <v>8</v>
      </c>
      <c r="AF65" s="13" t="s">
        <v>3</v>
      </c>
      <c r="AG65" t="s">
        <v>55</v>
      </c>
      <c r="AH65">
        <v>1</v>
      </c>
      <c r="AI65" s="9"/>
      <c r="AJ65" s="9"/>
      <c r="AK65" s="9"/>
      <c r="AL65" s="9"/>
      <c r="AM65" s="9"/>
      <c r="AN65" s="9"/>
      <c r="AP65" s="9"/>
      <c r="AR65" s="9"/>
    </row>
    <row r="66" spans="1:44" x14ac:dyDescent="0.3">
      <c r="B66" s="5"/>
      <c r="C66" s="27"/>
      <c r="D66" s="27"/>
      <c r="E66" s="27"/>
      <c r="F66" s="27"/>
      <c r="G66" s="27"/>
      <c r="AF66" t="s">
        <v>56</v>
      </c>
      <c r="AH66">
        <v>1</v>
      </c>
      <c r="AI66" s="9">
        <v>9</v>
      </c>
      <c r="AJ66" s="9">
        <v>8</v>
      </c>
      <c r="AK66" s="9">
        <v>9</v>
      </c>
      <c r="AL66" s="9">
        <v>10</v>
      </c>
      <c r="AM66" s="9">
        <v>8</v>
      </c>
      <c r="AN66" s="9"/>
      <c r="AP66" s="9"/>
      <c r="AR66" s="9"/>
    </row>
    <row r="67" spans="1:44" x14ac:dyDescent="0.3">
      <c r="A67" s="23" t="s">
        <v>98</v>
      </c>
      <c r="B67" s="37"/>
      <c r="C67" s="34">
        <f>AVERAGE(C68:C69)</f>
        <v>1.5</v>
      </c>
      <c r="D67" s="34">
        <f t="shared" ref="D67:G67" si="47">AVERAGE(D68:D69)</f>
        <v>10</v>
      </c>
      <c r="E67" s="34">
        <f t="shared" si="47"/>
        <v>1.5</v>
      </c>
      <c r="F67" s="34">
        <f t="shared" si="47"/>
        <v>1</v>
      </c>
      <c r="G67" s="41">
        <f t="shared" si="47"/>
        <v>10</v>
      </c>
      <c r="AF67" t="s">
        <v>57</v>
      </c>
      <c r="AH67">
        <v>1</v>
      </c>
      <c r="AI67" s="9">
        <v>6</v>
      </c>
      <c r="AJ67" s="9">
        <v>6</v>
      </c>
      <c r="AK67" s="9">
        <v>10</v>
      </c>
      <c r="AL67" s="9">
        <v>6</v>
      </c>
      <c r="AM67" s="9">
        <v>10</v>
      </c>
      <c r="AN67" s="9"/>
      <c r="AP67" s="9"/>
      <c r="AR67" s="9"/>
    </row>
    <row r="68" spans="1:44" x14ac:dyDescent="0.3">
      <c r="B68" s="5" t="s">
        <v>34</v>
      </c>
      <c r="C68" s="27">
        <v>1</v>
      </c>
      <c r="D68" s="27">
        <v>10</v>
      </c>
      <c r="E68" s="27">
        <v>1</v>
      </c>
      <c r="F68" s="27">
        <v>1</v>
      </c>
      <c r="G68" s="27">
        <v>10</v>
      </c>
      <c r="AF68" t="s">
        <v>58</v>
      </c>
      <c r="AH68">
        <v>1</v>
      </c>
      <c r="AI68" s="9">
        <v>9</v>
      </c>
      <c r="AJ68" s="9">
        <v>9</v>
      </c>
      <c r="AK68" s="9">
        <v>8</v>
      </c>
      <c r="AL68" s="9">
        <v>9</v>
      </c>
      <c r="AM68" s="9">
        <v>8</v>
      </c>
      <c r="AN68" s="9"/>
      <c r="AP68" s="9"/>
      <c r="AR68" s="9"/>
    </row>
    <row r="69" spans="1:44" x14ac:dyDescent="0.3">
      <c r="B69" s="5" t="s">
        <v>127</v>
      </c>
      <c r="C69" s="28">
        <v>2</v>
      </c>
      <c r="D69" s="28">
        <v>10</v>
      </c>
      <c r="E69" s="28">
        <v>2</v>
      </c>
      <c r="F69" s="28">
        <v>1</v>
      </c>
      <c r="G69" s="28">
        <v>10</v>
      </c>
      <c r="AD69" t="s">
        <v>89</v>
      </c>
      <c r="AH69">
        <v>1</v>
      </c>
      <c r="AI69" s="9"/>
      <c r="AJ69" s="9"/>
      <c r="AK69" s="9"/>
      <c r="AL69" s="9"/>
      <c r="AM69" s="9"/>
      <c r="AN69" s="9"/>
      <c r="AP69" s="9"/>
      <c r="AR69" s="9"/>
    </row>
    <row r="70" spans="1:44" x14ac:dyDescent="0.3">
      <c r="B70" s="5"/>
      <c r="C70" s="27"/>
      <c r="D70" s="27"/>
      <c r="E70" s="27"/>
      <c r="F70" s="27"/>
      <c r="G70" s="27"/>
      <c r="AE70" t="s">
        <v>13</v>
      </c>
      <c r="AH70">
        <v>1</v>
      </c>
      <c r="AI70" s="9"/>
      <c r="AJ70" s="9"/>
      <c r="AK70" s="9"/>
      <c r="AL70" s="9"/>
      <c r="AM70" s="9"/>
      <c r="AN70" s="9"/>
      <c r="AP70" s="9"/>
      <c r="AR70" s="9"/>
    </row>
    <row r="71" spans="1:44" x14ac:dyDescent="0.3">
      <c r="A71" s="23" t="s">
        <v>74</v>
      </c>
      <c r="B71" s="37"/>
      <c r="C71" s="34">
        <f>AVERAGE(C72:C73)</f>
        <v>2.5</v>
      </c>
      <c r="D71" s="34">
        <f t="shared" ref="D71:G71" si="48">AVERAGE(D72:D73)</f>
        <v>8</v>
      </c>
      <c r="E71" s="34">
        <f t="shared" si="48"/>
        <v>2.5</v>
      </c>
      <c r="F71" s="34">
        <f t="shared" si="48"/>
        <v>4</v>
      </c>
      <c r="G71" s="41">
        <f t="shared" si="48"/>
        <v>8</v>
      </c>
      <c r="AF71" t="s">
        <v>28</v>
      </c>
      <c r="AH71">
        <v>1</v>
      </c>
      <c r="AI71" s="9">
        <f t="shared" ref="AI71:AI76" si="49">AI18</f>
        <v>5</v>
      </c>
      <c r="AJ71" s="9">
        <f t="shared" ref="AJ71:AJ76" si="50">AJ18</f>
        <v>10</v>
      </c>
      <c r="AK71" s="9">
        <f t="shared" ref="AK71:AK76" si="51">AK18</f>
        <v>5</v>
      </c>
      <c r="AL71" s="9">
        <f t="shared" ref="AL71:AL76" si="52">AL18</f>
        <v>10</v>
      </c>
      <c r="AM71" s="9">
        <f t="shared" ref="AM71:AM76" si="53">AM18</f>
        <v>10</v>
      </c>
      <c r="AN71" s="9"/>
      <c r="AP71" s="9"/>
      <c r="AR71" s="9"/>
    </row>
    <row r="72" spans="1:44" x14ac:dyDescent="0.3">
      <c r="B72" s="5" t="s">
        <v>76</v>
      </c>
      <c r="C72" s="27">
        <v>4</v>
      </c>
      <c r="D72" s="27">
        <v>6</v>
      </c>
      <c r="E72" s="27">
        <v>4</v>
      </c>
      <c r="F72" s="27">
        <v>5</v>
      </c>
      <c r="G72" s="27">
        <v>6</v>
      </c>
      <c r="AF72" t="s">
        <v>29</v>
      </c>
      <c r="AH72">
        <v>1</v>
      </c>
      <c r="AI72" s="9">
        <f t="shared" si="49"/>
        <v>8</v>
      </c>
      <c r="AJ72" s="9">
        <f t="shared" si="50"/>
        <v>10</v>
      </c>
      <c r="AK72" s="9">
        <f t="shared" si="51"/>
        <v>8</v>
      </c>
      <c r="AL72" s="9">
        <f t="shared" si="52"/>
        <v>9</v>
      </c>
      <c r="AM72" s="9">
        <f t="shared" si="53"/>
        <v>10</v>
      </c>
      <c r="AN72" s="9"/>
      <c r="AP72" s="9"/>
      <c r="AR72" s="9"/>
    </row>
    <row r="73" spans="1:44" x14ac:dyDescent="0.3">
      <c r="B73" s="5" t="s">
        <v>77</v>
      </c>
      <c r="C73" s="27">
        <v>1</v>
      </c>
      <c r="D73" s="27">
        <v>10</v>
      </c>
      <c r="E73" s="27">
        <v>1</v>
      </c>
      <c r="F73" s="27">
        <v>3</v>
      </c>
      <c r="G73" s="27">
        <v>10</v>
      </c>
      <c r="AF73" t="s">
        <v>30</v>
      </c>
      <c r="AH73">
        <v>1</v>
      </c>
      <c r="AI73" s="9">
        <f t="shared" si="49"/>
        <v>8</v>
      </c>
      <c r="AJ73" s="9">
        <f t="shared" si="50"/>
        <v>8</v>
      </c>
      <c r="AK73" s="9">
        <f t="shared" si="51"/>
        <v>10</v>
      </c>
      <c r="AL73" s="9">
        <f t="shared" si="52"/>
        <v>8</v>
      </c>
      <c r="AM73" s="9">
        <f t="shared" si="53"/>
        <v>10</v>
      </c>
      <c r="AN73" s="9"/>
      <c r="AP73" s="9"/>
      <c r="AR73" s="9"/>
    </row>
    <row r="74" spans="1:44" x14ac:dyDescent="0.3">
      <c r="B74" s="5"/>
      <c r="C74" s="27"/>
      <c r="D74" s="27"/>
      <c r="E74" s="27"/>
      <c r="F74" s="27"/>
      <c r="G74" s="27"/>
      <c r="AF74" t="s">
        <v>31</v>
      </c>
      <c r="AH74">
        <v>1</v>
      </c>
      <c r="AI74" s="9">
        <f t="shared" si="49"/>
        <v>10</v>
      </c>
      <c r="AJ74" s="9">
        <f t="shared" si="50"/>
        <v>10</v>
      </c>
      <c r="AK74" s="9">
        <f t="shared" si="51"/>
        <v>7</v>
      </c>
      <c r="AL74" s="9">
        <f t="shared" si="52"/>
        <v>10</v>
      </c>
      <c r="AM74" s="9">
        <f t="shared" si="53"/>
        <v>7</v>
      </c>
      <c r="AN74" s="9"/>
      <c r="AP74" s="9"/>
      <c r="AR74" s="9"/>
    </row>
    <row r="75" spans="1:44" x14ac:dyDescent="0.3">
      <c r="A75" s="23" t="s">
        <v>99</v>
      </c>
      <c r="B75" s="37"/>
      <c r="C75" s="34">
        <f>AVERAGE(C76:C78)</f>
        <v>8</v>
      </c>
      <c r="D75" s="34">
        <f t="shared" ref="D75:G75" si="54">AVERAGE(D76:D78)</f>
        <v>7.666666666666667</v>
      </c>
      <c r="E75" s="34">
        <f t="shared" si="54"/>
        <v>9</v>
      </c>
      <c r="F75" s="34">
        <f t="shared" si="54"/>
        <v>8.3333333333333339</v>
      </c>
      <c r="G75" s="41">
        <f t="shared" si="54"/>
        <v>8.6666666666666661</v>
      </c>
      <c r="AF75" t="s">
        <v>32</v>
      </c>
      <c r="AH75">
        <v>1</v>
      </c>
      <c r="AI75" s="9">
        <f t="shared" si="49"/>
        <v>6</v>
      </c>
      <c r="AJ75" s="9">
        <f t="shared" si="50"/>
        <v>10</v>
      </c>
      <c r="AK75" s="9">
        <f t="shared" si="51"/>
        <v>6</v>
      </c>
      <c r="AL75" s="9">
        <f t="shared" si="52"/>
        <v>6</v>
      </c>
      <c r="AM75" s="9">
        <f t="shared" si="53"/>
        <v>10</v>
      </c>
      <c r="AN75" s="9"/>
      <c r="AP75" s="9"/>
      <c r="AR75" s="9"/>
    </row>
    <row r="76" spans="1:44" x14ac:dyDescent="0.3">
      <c r="B76" s="5" t="s">
        <v>56</v>
      </c>
      <c r="C76" s="27">
        <f>C47</f>
        <v>9</v>
      </c>
      <c r="D76" s="27">
        <f t="shared" ref="D76:G76" si="55">D47</f>
        <v>8</v>
      </c>
      <c r="E76" s="27">
        <f t="shared" si="55"/>
        <v>9</v>
      </c>
      <c r="F76" s="27">
        <f t="shared" si="55"/>
        <v>10</v>
      </c>
      <c r="G76" s="27">
        <f t="shared" si="55"/>
        <v>8</v>
      </c>
      <c r="AF76" t="s">
        <v>50</v>
      </c>
      <c r="AH76">
        <v>1</v>
      </c>
      <c r="AI76" s="9">
        <f t="shared" si="49"/>
        <v>5</v>
      </c>
      <c r="AJ76" s="9">
        <f t="shared" si="50"/>
        <v>5</v>
      </c>
      <c r="AK76" s="9">
        <f t="shared" si="51"/>
        <v>5</v>
      </c>
      <c r="AL76" s="9">
        <f t="shared" si="52"/>
        <v>5</v>
      </c>
      <c r="AM76" s="9">
        <f t="shared" si="53"/>
        <v>5</v>
      </c>
      <c r="AN76" s="9"/>
      <c r="AP76" s="9"/>
      <c r="AR76" s="9"/>
    </row>
    <row r="77" spans="1:44" x14ac:dyDescent="0.3">
      <c r="B77" s="5" t="s">
        <v>57</v>
      </c>
      <c r="C77" s="27">
        <f t="shared" ref="C77:G77" si="56">C48</f>
        <v>6</v>
      </c>
      <c r="D77" s="27">
        <f t="shared" si="56"/>
        <v>6</v>
      </c>
      <c r="E77" s="27">
        <f t="shared" si="56"/>
        <v>10</v>
      </c>
      <c r="F77" s="27">
        <f t="shared" si="56"/>
        <v>6</v>
      </c>
      <c r="G77" s="27">
        <f t="shared" si="56"/>
        <v>10</v>
      </c>
      <c r="AH77">
        <v>1</v>
      </c>
      <c r="AI77" s="9"/>
      <c r="AJ77" s="9"/>
      <c r="AK77" s="9"/>
      <c r="AL77" s="9"/>
      <c r="AM77" s="9"/>
      <c r="AN77" s="9"/>
      <c r="AP77" s="9"/>
      <c r="AR77" s="9"/>
    </row>
    <row r="78" spans="1:44" x14ac:dyDescent="0.3">
      <c r="B78" s="5" t="s">
        <v>58</v>
      </c>
      <c r="C78" s="27">
        <f t="shared" ref="C78:G78" si="57">C49</f>
        <v>9</v>
      </c>
      <c r="D78" s="27">
        <f t="shared" si="57"/>
        <v>9</v>
      </c>
      <c r="E78" s="27">
        <f t="shared" si="57"/>
        <v>8</v>
      </c>
      <c r="F78" s="27">
        <f t="shared" si="57"/>
        <v>9</v>
      </c>
      <c r="G78" s="27">
        <f t="shared" si="57"/>
        <v>8</v>
      </c>
      <c r="AE78" t="s">
        <v>15</v>
      </c>
      <c r="AH78">
        <v>1</v>
      </c>
      <c r="AI78" s="9"/>
      <c r="AJ78" s="9"/>
      <c r="AK78" s="9"/>
      <c r="AL78" s="9"/>
      <c r="AM78" s="9"/>
      <c r="AN78" s="9"/>
      <c r="AP78" s="9"/>
      <c r="AR78" s="9"/>
    </row>
    <row r="79" spans="1:44" x14ac:dyDescent="0.3">
      <c r="B79" s="5"/>
      <c r="C79" s="27"/>
      <c r="D79" s="27"/>
      <c r="E79" s="27"/>
      <c r="F79" s="27"/>
      <c r="G79" s="27"/>
      <c r="AF79" s="13" t="s">
        <v>3</v>
      </c>
      <c r="AG79" t="s">
        <v>55</v>
      </c>
      <c r="AH79">
        <v>1</v>
      </c>
      <c r="AI79" s="9"/>
      <c r="AJ79" s="9"/>
      <c r="AK79" s="9"/>
      <c r="AL79" s="9"/>
      <c r="AM79" s="9"/>
      <c r="AN79" s="9"/>
      <c r="AP79" s="9"/>
      <c r="AR79" s="9"/>
    </row>
    <row r="80" spans="1:44" x14ac:dyDescent="0.3">
      <c r="A80" s="23" t="s">
        <v>100</v>
      </c>
      <c r="B80" s="37"/>
      <c r="C80" s="34">
        <f>AVERAGE(C81,C89)</f>
        <v>6</v>
      </c>
      <c r="D80" s="34">
        <f t="shared" ref="D80:G80" si="58">AVERAGE(D81,D89)</f>
        <v>8.4166666666666679</v>
      </c>
      <c r="E80" s="34">
        <f t="shared" si="58"/>
        <v>6.4791666666666661</v>
      </c>
      <c r="F80" s="34">
        <f t="shared" si="58"/>
        <v>7.125</v>
      </c>
      <c r="G80" s="41">
        <f t="shared" si="58"/>
        <v>8.8958333333333321</v>
      </c>
      <c r="AF80" t="s">
        <v>56</v>
      </c>
      <c r="AH80">
        <v>1</v>
      </c>
      <c r="AI80" s="9">
        <f t="shared" ref="AI80:AM82" si="59">AI66</f>
        <v>9</v>
      </c>
      <c r="AJ80" s="9">
        <f t="shared" si="59"/>
        <v>8</v>
      </c>
      <c r="AK80" s="9">
        <f t="shared" si="59"/>
        <v>9</v>
      </c>
      <c r="AL80" s="9">
        <f t="shared" si="59"/>
        <v>10</v>
      </c>
      <c r="AM80" s="9">
        <f t="shared" si="59"/>
        <v>8</v>
      </c>
      <c r="AN80" s="9"/>
      <c r="AP80" s="9"/>
      <c r="AR80" s="9"/>
    </row>
    <row r="81" spans="2:44" x14ac:dyDescent="0.3">
      <c r="B81" s="38" t="s">
        <v>79</v>
      </c>
      <c r="C81" s="33">
        <f>AVERAGE(C82:C87)</f>
        <v>7</v>
      </c>
      <c r="D81" s="33">
        <f t="shared" ref="D81" si="60">AVERAGE(D82:D87)</f>
        <v>8.8333333333333339</v>
      </c>
      <c r="E81" s="33">
        <f t="shared" ref="E81" si="61">AVERAGE(E82:E87)</f>
        <v>6.833333333333333</v>
      </c>
      <c r="F81" s="33">
        <f t="shared" ref="F81" si="62">AVERAGE(F82:F87)</f>
        <v>8</v>
      </c>
      <c r="G81" s="33">
        <f t="shared" ref="G81" si="63">AVERAGE(G82:G87)</f>
        <v>8.6666666666666661</v>
      </c>
      <c r="AF81" t="s">
        <v>57</v>
      </c>
      <c r="AH81">
        <v>1</v>
      </c>
      <c r="AI81" s="9">
        <f t="shared" si="59"/>
        <v>6</v>
      </c>
      <c r="AJ81" s="9">
        <f t="shared" si="59"/>
        <v>6</v>
      </c>
      <c r="AK81" s="9">
        <f t="shared" si="59"/>
        <v>10</v>
      </c>
      <c r="AL81" s="9">
        <f t="shared" si="59"/>
        <v>6</v>
      </c>
      <c r="AM81" s="9">
        <f t="shared" si="59"/>
        <v>10</v>
      </c>
      <c r="AN81" s="9"/>
      <c r="AP81" s="9"/>
      <c r="AR81" s="9"/>
    </row>
    <row r="82" spans="2:44" x14ac:dyDescent="0.3">
      <c r="B82" s="5" t="s">
        <v>28</v>
      </c>
      <c r="C82" s="27">
        <f>C18</f>
        <v>5</v>
      </c>
      <c r="D82" s="27">
        <f t="shared" ref="D82:G82" si="64">D18</f>
        <v>10</v>
      </c>
      <c r="E82" s="27">
        <f t="shared" si="64"/>
        <v>5</v>
      </c>
      <c r="F82" s="27">
        <f t="shared" si="64"/>
        <v>10</v>
      </c>
      <c r="G82" s="27">
        <f t="shared" si="64"/>
        <v>10</v>
      </c>
      <c r="AC82" s="3" t="s">
        <v>60</v>
      </c>
      <c r="AF82" t="s">
        <v>58</v>
      </c>
      <c r="AH82">
        <v>0.15</v>
      </c>
      <c r="AI82" s="9">
        <f t="shared" si="59"/>
        <v>9</v>
      </c>
      <c r="AJ82" s="9">
        <f t="shared" si="59"/>
        <v>9</v>
      </c>
      <c r="AK82" s="9">
        <f t="shared" si="59"/>
        <v>8</v>
      </c>
      <c r="AL82" s="9">
        <f t="shared" si="59"/>
        <v>9</v>
      </c>
      <c r="AM82" s="9">
        <f t="shared" si="59"/>
        <v>8</v>
      </c>
      <c r="AN82" s="9"/>
      <c r="AP82" s="9"/>
      <c r="AR82" s="9"/>
    </row>
    <row r="83" spans="2:44" x14ac:dyDescent="0.3">
      <c r="B83" s="5" t="s">
        <v>29</v>
      </c>
      <c r="C83" s="27">
        <f t="shared" ref="C83:G87" si="65">C19</f>
        <v>8</v>
      </c>
      <c r="D83" s="27">
        <f t="shared" si="65"/>
        <v>10</v>
      </c>
      <c r="E83" s="27">
        <f t="shared" si="65"/>
        <v>8</v>
      </c>
      <c r="F83" s="27">
        <f t="shared" si="65"/>
        <v>9</v>
      </c>
      <c r="G83" s="27">
        <f t="shared" si="65"/>
        <v>10</v>
      </c>
      <c r="AH83">
        <v>1</v>
      </c>
      <c r="AI83" s="9"/>
      <c r="AJ83" s="9"/>
      <c r="AK83" s="9"/>
      <c r="AL83" s="9"/>
      <c r="AM83" s="9"/>
      <c r="AN83" s="9"/>
      <c r="AP83" s="9"/>
      <c r="AR83" s="9"/>
    </row>
    <row r="84" spans="2:44" x14ac:dyDescent="0.3">
      <c r="B84" s="5" t="s">
        <v>30</v>
      </c>
      <c r="C84" s="27">
        <f t="shared" si="65"/>
        <v>8</v>
      </c>
      <c r="D84" s="27">
        <f t="shared" si="65"/>
        <v>8</v>
      </c>
      <c r="E84" s="27">
        <f t="shared" si="65"/>
        <v>10</v>
      </c>
      <c r="F84" s="27">
        <f t="shared" si="65"/>
        <v>8</v>
      </c>
      <c r="G84" s="27">
        <f t="shared" si="65"/>
        <v>10</v>
      </c>
      <c r="AD84" t="s">
        <v>62</v>
      </c>
      <c r="AH84">
        <v>1</v>
      </c>
      <c r="AI84" s="9"/>
      <c r="AJ84" s="9"/>
      <c r="AK84" s="9"/>
      <c r="AL84" s="9"/>
      <c r="AM84" s="9"/>
      <c r="AN84" s="9"/>
      <c r="AP84" s="9"/>
      <c r="AR84" s="9"/>
    </row>
    <row r="85" spans="2:44" x14ac:dyDescent="0.3">
      <c r="B85" s="5" t="s">
        <v>31</v>
      </c>
      <c r="C85" s="27">
        <f t="shared" si="65"/>
        <v>10</v>
      </c>
      <c r="D85" s="27">
        <f t="shared" si="65"/>
        <v>10</v>
      </c>
      <c r="E85" s="27">
        <f t="shared" si="65"/>
        <v>7</v>
      </c>
      <c r="F85" s="27">
        <f t="shared" si="65"/>
        <v>10</v>
      </c>
      <c r="G85" s="27">
        <f t="shared" si="65"/>
        <v>7</v>
      </c>
      <c r="AE85" t="s">
        <v>64</v>
      </c>
      <c r="AH85">
        <v>1</v>
      </c>
      <c r="AI85" s="9">
        <v>10</v>
      </c>
      <c r="AJ85" s="9">
        <v>7</v>
      </c>
      <c r="AK85" s="9">
        <v>10</v>
      </c>
      <c r="AL85" s="9">
        <v>7</v>
      </c>
      <c r="AM85" s="9">
        <v>7</v>
      </c>
      <c r="AN85" s="9"/>
      <c r="AP85" s="9"/>
      <c r="AR85" s="9"/>
    </row>
    <row r="86" spans="2:44" x14ac:dyDescent="0.3">
      <c r="B86" s="5" t="s">
        <v>32</v>
      </c>
      <c r="C86" s="27">
        <f t="shared" si="65"/>
        <v>6</v>
      </c>
      <c r="D86" s="27">
        <f t="shared" si="65"/>
        <v>10</v>
      </c>
      <c r="E86" s="27">
        <f t="shared" si="65"/>
        <v>6</v>
      </c>
      <c r="F86" s="27">
        <f t="shared" si="65"/>
        <v>6</v>
      </c>
      <c r="G86" s="27">
        <f t="shared" si="65"/>
        <v>10</v>
      </c>
      <c r="AE86" t="s">
        <v>65</v>
      </c>
      <c r="AH86">
        <v>1</v>
      </c>
      <c r="AI86" s="9">
        <v>9</v>
      </c>
      <c r="AJ86" s="9">
        <v>1</v>
      </c>
      <c r="AK86" s="9">
        <v>9</v>
      </c>
      <c r="AL86" s="9">
        <v>7</v>
      </c>
      <c r="AM86" s="9">
        <v>1</v>
      </c>
      <c r="AN86" s="9"/>
      <c r="AP86" s="9"/>
      <c r="AR86" s="9"/>
    </row>
    <row r="87" spans="2:44" x14ac:dyDescent="0.3">
      <c r="B87" s="5" t="s">
        <v>50</v>
      </c>
      <c r="C87" s="27">
        <f t="shared" si="65"/>
        <v>5</v>
      </c>
      <c r="D87" s="27">
        <f t="shared" si="65"/>
        <v>5</v>
      </c>
      <c r="E87" s="27">
        <f t="shared" si="65"/>
        <v>5</v>
      </c>
      <c r="F87" s="27">
        <f t="shared" si="65"/>
        <v>5</v>
      </c>
      <c r="G87" s="27">
        <f t="shared" si="65"/>
        <v>5</v>
      </c>
      <c r="AD87" t="s">
        <v>63</v>
      </c>
      <c r="AH87">
        <v>1</v>
      </c>
      <c r="AI87" s="9"/>
      <c r="AJ87" s="9"/>
      <c r="AK87" s="9"/>
      <c r="AL87" s="9"/>
      <c r="AM87" s="9"/>
      <c r="AN87" s="9"/>
      <c r="AP87" s="9"/>
      <c r="AR87" s="9"/>
    </row>
    <row r="88" spans="2:44" x14ac:dyDescent="0.3">
      <c r="B88" s="5"/>
      <c r="C88" s="27"/>
      <c r="D88" s="27"/>
      <c r="E88" s="27"/>
      <c r="F88" s="27"/>
      <c r="G88" s="27"/>
      <c r="AE88" t="s">
        <v>61</v>
      </c>
      <c r="AH88">
        <v>1</v>
      </c>
      <c r="AI88" s="9">
        <v>10</v>
      </c>
      <c r="AJ88" s="9">
        <v>3</v>
      </c>
      <c r="AK88" s="9">
        <v>10</v>
      </c>
      <c r="AL88" s="9">
        <v>7</v>
      </c>
      <c r="AM88" s="9">
        <v>3</v>
      </c>
      <c r="AN88" s="9"/>
      <c r="AP88" s="9"/>
      <c r="AR88" s="9"/>
    </row>
    <row r="89" spans="2:44" x14ac:dyDescent="0.3">
      <c r="B89" s="38" t="s">
        <v>80</v>
      </c>
      <c r="C89" s="33">
        <f>AVERAGE(C90:C97)</f>
        <v>5</v>
      </c>
      <c r="D89" s="33">
        <f t="shared" ref="D89:G89" si="66">AVERAGE(D90:D97)</f>
        <v>8</v>
      </c>
      <c r="E89" s="33">
        <f t="shared" si="66"/>
        <v>6.125</v>
      </c>
      <c r="F89" s="33">
        <f t="shared" si="66"/>
        <v>6.25</v>
      </c>
      <c r="G89" s="33">
        <f t="shared" si="66"/>
        <v>9.125</v>
      </c>
      <c r="AE89" t="s">
        <v>66</v>
      </c>
      <c r="AH89">
        <v>1</v>
      </c>
      <c r="AI89" s="9">
        <v>10</v>
      </c>
      <c r="AJ89" s="9">
        <v>1</v>
      </c>
      <c r="AK89" s="9">
        <v>10</v>
      </c>
      <c r="AL89" s="9">
        <v>9</v>
      </c>
      <c r="AM89" s="9">
        <v>1</v>
      </c>
      <c r="AN89" s="9"/>
      <c r="AP89" s="9"/>
      <c r="AR89" s="9"/>
    </row>
    <row r="90" spans="2:44" x14ac:dyDescent="0.3">
      <c r="B90" s="5" t="s">
        <v>81</v>
      </c>
      <c r="C90" s="27">
        <v>3</v>
      </c>
      <c r="D90" s="27">
        <v>10</v>
      </c>
      <c r="E90" s="27">
        <v>3</v>
      </c>
      <c r="F90" s="27">
        <v>4</v>
      </c>
      <c r="G90" s="27">
        <v>10</v>
      </c>
      <c r="AH90">
        <v>1</v>
      </c>
      <c r="AI90" s="9"/>
      <c r="AJ90" s="9"/>
      <c r="AK90" s="9"/>
      <c r="AL90" s="9"/>
      <c r="AM90" s="9"/>
      <c r="AN90" s="9"/>
      <c r="AP90" s="9"/>
      <c r="AR90" s="9"/>
    </row>
    <row r="91" spans="2:44" x14ac:dyDescent="0.3">
      <c r="B91" s="5" t="s">
        <v>82</v>
      </c>
      <c r="C91" s="27">
        <v>3</v>
      </c>
      <c r="D91" s="27">
        <v>10</v>
      </c>
      <c r="E91" s="27">
        <v>3</v>
      </c>
      <c r="F91" s="27">
        <v>8</v>
      </c>
      <c r="G91" s="27">
        <v>10</v>
      </c>
      <c r="AC91" s="3" t="s">
        <v>14</v>
      </c>
      <c r="AH91">
        <v>0.09</v>
      </c>
      <c r="AI91" s="9"/>
      <c r="AJ91" s="9"/>
      <c r="AK91" s="9"/>
      <c r="AL91" s="9"/>
      <c r="AM91" s="9"/>
      <c r="AN91" s="9"/>
      <c r="AP91" s="9"/>
      <c r="AR91" s="9"/>
    </row>
    <row r="92" spans="2:44" x14ac:dyDescent="0.3">
      <c r="B92" s="5" t="s">
        <v>83</v>
      </c>
      <c r="C92" s="27">
        <v>3</v>
      </c>
      <c r="D92" s="27">
        <v>10</v>
      </c>
      <c r="E92" s="27">
        <v>3</v>
      </c>
      <c r="F92" s="27">
        <v>5</v>
      </c>
      <c r="G92" s="27">
        <v>10</v>
      </c>
      <c r="AD92" s="1" t="s">
        <v>0</v>
      </c>
      <c r="AH92">
        <v>1</v>
      </c>
      <c r="AI92" s="9"/>
      <c r="AJ92" s="9"/>
      <c r="AK92" s="9"/>
      <c r="AL92" s="9"/>
      <c r="AM92" s="9"/>
      <c r="AN92" s="9"/>
      <c r="AP92" s="9"/>
      <c r="AR92" s="9"/>
    </row>
    <row r="93" spans="2:44" x14ac:dyDescent="0.3">
      <c r="B93" s="5" t="s">
        <v>84</v>
      </c>
      <c r="C93" s="27">
        <v>7</v>
      </c>
      <c r="D93" s="27">
        <v>10</v>
      </c>
      <c r="E93" s="27">
        <v>7</v>
      </c>
      <c r="F93" s="27">
        <v>9</v>
      </c>
      <c r="G93" s="27">
        <v>10</v>
      </c>
      <c r="AE93" t="s">
        <v>67</v>
      </c>
      <c r="AH93">
        <v>1</v>
      </c>
      <c r="AI93" s="9">
        <v>1</v>
      </c>
      <c r="AJ93" s="9">
        <v>10</v>
      </c>
      <c r="AK93" s="9">
        <v>1</v>
      </c>
      <c r="AL93" s="9">
        <v>5</v>
      </c>
      <c r="AM93" s="9">
        <v>10</v>
      </c>
      <c r="AN93" s="9"/>
      <c r="AP93" s="9"/>
      <c r="AR93" s="9"/>
    </row>
    <row r="94" spans="2:44" x14ac:dyDescent="0.3">
      <c r="B94" s="5" t="s">
        <v>85</v>
      </c>
      <c r="C94" s="27">
        <v>5</v>
      </c>
      <c r="D94" s="27">
        <v>5</v>
      </c>
      <c r="E94" s="27">
        <v>10</v>
      </c>
      <c r="F94" s="27">
        <v>5</v>
      </c>
      <c r="G94" s="27">
        <v>10</v>
      </c>
      <c r="AE94" t="s">
        <v>68</v>
      </c>
      <c r="AH94">
        <v>1</v>
      </c>
      <c r="AN94" s="9"/>
      <c r="AP94" s="9"/>
      <c r="AR94" s="9"/>
    </row>
    <row r="95" spans="2:44" x14ac:dyDescent="0.3">
      <c r="B95" s="5" t="s">
        <v>88</v>
      </c>
      <c r="C95" s="27">
        <v>8</v>
      </c>
      <c r="D95" s="27">
        <v>8</v>
      </c>
      <c r="E95" s="27">
        <v>6</v>
      </c>
      <c r="F95" s="27">
        <v>8</v>
      </c>
      <c r="G95" s="27">
        <v>6</v>
      </c>
      <c r="AF95" t="s">
        <v>69</v>
      </c>
      <c r="AH95">
        <v>1</v>
      </c>
      <c r="AI95" s="9">
        <v>5</v>
      </c>
      <c r="AJ95" s="9">
        <v>3</v>
      </c>
      <c r="AK95" s="9">
        <v>9</v>
      </c>
      <c r="AL95" s="9">
        <v>10</v>
      </c>
      <c r="AM95" s="9">
        <v>9</v>
      </c>
      <c r="AN95" s="9"/>
      <c r="AP95" s="9"/>
      <c r="AR95" s="9"/>
    </row>
    <row r="96" spans="2:44" x14ac:dyDescent="0.3">
      <c r="B96" s="5" t="s">
        <v>87</v>
      </c>
      <c r="C96" s="27">
        <v>5</v>
      </c>
      <c r="D96" s="27">
        <v>5</v>
      </c>
      <c r="E96" s="27">
        <v>10</v>
      </c>
      <c r="F96" s="27">
        <v>5</v>
      </c>
      <c r="G96" s="27">
        <v>10</v>
      </c>
      <c r="AF96" t="s">
        <v>70</v>
      </c>
      <c r="AH96">
        <v>1</v>
      </c>
      <c r="AI96" s="9">
        <v>5</v>
      </c>
      <c r="AJ96" s="9">
        <v>8</v>
      </c>
      <c r="AK96" s="9">
        <v>5</v>
      </c>
      <c r="AL96" s="9">
        <v>10</v>
      </c>
      <c r="AM96" s="9">
        <v>8</v>
      </c>
      <c r="AN96" s="9"/>
      <c r="AP96" s="9"/>
      <c r="AR96" s="9"/>
    </row>
    <row r="97" spans="1:44" x14ac:dyDescent="0.3">
      <c r="B97" s="5" t="s">
        <v>86</v>
      </c>
      <c r="C97" s="27">
        <v>6</v>
      </c>
      <c r="D97" s="27">
        <v>6</v>
      </c>
      <c r="E97" s="27">
        <v>7</v>
      </c>
      <c r="F97" s="27">
        <v>6</v>
      </c>
      <c r="G97" s="27">
        <v>7</v>
      </c>
      <c r="AH97">
        <v>1</v>
      </c>
      <c r="AI97" s="9"/>
      <c r="AJ97" s="9"/>
      <c r="AK97" s="9"/>
      <c r="AL97" s="9"/>
      <c r="AM97" s="9"/>
      <c r="AN97" s="9"/>
      <c r="AP97" s="9"/>
      <c r="AR97" s="9"/>
    </row>
    <row r="98" spans="1:44" x14ac:dyDescent="0.3">
      <c r="B98" s="5"/>
      <c r="C98" s="27"/>
      <c r="D98" s="27"/>
      <c r="E98" s="27"/>
      <c r="F98" s="27"/>
      <c r="G98" s="27"/>
      <c r="AD98" s="1" t="s">
        <v>17</v>
      </c>
      <c r="AH98">
        <v>1</v>
      </c>
      <c r="AI98" s="9"/>
      <c r="AJ98" s="9"/>
      <c r="AK98" s="9"/>
      <c r="AL98" s="9"/>
      <c r="AM98" s="9"/>
      <c r="AN98" s="9"/>
      <c r="AP98" s="9"/>
      <c r="AR98" s="9"/>
    </row>
    <row r="99" spans="1:44" x14ac:dyDescent="0.3">
      <c r="A99" s="23" t="s">
        <v>97</v>
      </c>
      <c r="B99" s="37"/>
      <c r="C99" s="34">
        <f>AVERAGE(C100:C101)</f>
        <v>6</v>
      </c>
      <c r="D99" s="34">
        <v>10</v>
      </c>
      <c r="E99" s="34">
        <f t="shared" ref="E99:F99" si="67">AVERAGE(E100:E101)</f>
        <v>6</v>
      </c>
      <c r="F99" s="34">
        <f t="shared" si="67"/>
        <v>8.5</v>
      </c>
      <c r="G99" s="41">
        <v>10</v>
      </c>
      <c r="AE99" t="s">
        <v>71</v>
      </c>
      <c r="AH99">
        <v>1</v>
      </c>
      <c r="AI99" s="9">
        <v>4</v>
      </c>
      <c r="AJ99" s="9">
        <v>10</v>
      </c>
      <c r="AK99" s="9">
        <v>4</v>
      </c>
      <c r="AL99" s="9">
        <v>4</v>
      </c>
      <c r="AM99" s="9">
        <v>10</v>
      </c>
      <c r="AN99" s="9"/>
      <c r="AP99" s="9"/>
      <c r="AR99" s="9"/>
    </row>
    <row r="100" spans="1:44" x14ac:dyDescent="0.3">
      <c r="B100" s="5" t="s">
        <v>109</v>
      </c>
      <c r="C100" s="27">
        <v>7</v>
      </c>
      <c r="D100" s="27" t="s">
        <v>128</v>
      </c>
      <c r="E100" s="27">
        <v>7</v>
      </c>
      <c r="F100" s="27">
        <v>10</v>
      </c>
      <c r="G100" s="27" t="s">
        <v>128</v>
      </c>
      <c r="AE100" t="s">
        <v>72</v>
      </c>
      <c r="AH100">
        <v>1</v>
      </c>
      <c r="AI100" s="9">
        <v>4</v>
      </c>
      <c r="AJ100" s="9">
        <v>10</v>
      </c>
      <c r="AK100" s="9">
        <v>4</v>
      </c>
      <c r="AL100" s="9">
        <v>4</v>
      </c>
      <c r="AM100" s="9">
        <v>10</v>
      </c>
      <c r="AN100" s="9"/>
      <c r="AP100" s="9"/>
      <c r="AR100" s="9"/>
    </row>
    <row r="101" spans="1:44" x14ac:dyDescent="0.3">
      <c r="B101" s="5" t="s">
        <v>110</v>
      </c>
      <c r="C101" s="27">
        <v>5</v>
      </c>
      <c r="D101" s="27" t="s">
        <v>128</v>
      </c>
      <c r="E101" s="27">
        <v>5</v>
      </c>
      <c r="F101" s="27">
        <v>7</v>
      </c>
      <c r="G101" s="27" t="s">
        <v>128</v>
      </c>
      <c r="AH101">
        <v>1</v>
      </c>
      <c r="AI101" s="9"/>
      <c r="AJ101" s="9"/>
      <c r="AK101" s="9"/>
      <c r="AL101" s="9"/>
      <c r="AM101" s="9"/>
      <c r="AN101" s="9"/>
      <c r="AP101" s="9"/>
      <c r="AR101" s="9"/>
    </row>
    <row r="102" spans="1:44" x14ac:dyDescent="0.3">
      <c r="B102" s="5"/>
      <c r="C102" s="27"/>
      <c r="D102" s="27"/>
      <c r="E102" s="27"/>
      <c r="F102" s="27"/>
      <c r="G102" s="27"/>
      <c r="AD102" t="s">
        <v>73</v>
      </c>
      <c r="AH102">
        <v>1</v>
      </c>
      <c r="AI102" s="9">
        <v>7</v>
      </c>
      <c r="AJ102" s="9">
        <v>10</v>
      </c>
      <c r="AK102" s="9">
        <v>7</v>
      </c>
      <c r="AL102" s="9">
        <v>5</v>
      </c>
      <c r="AM102" s="9">
        <v>10</v>
      </c>
      <c r="AN102" s="9"/>
      <c r="AP102" s="9"/>
      <c r="AR102" s="9"/>
    </row>
    <row r="103" spans="1:44" x14ac:dyDescent="0.3">
      <c r="A103" s="23" t="s">
        <v>111</v>
      </c>
      <c r="B103" s="37"/>
      <c r="C103" s="34">
        <f>AVERAGE(C104:C105)</f>
        <v>8</v>
      </c>
      <c r="D103" s="34">
        <f t="shared" ref="D103" si="68">AVERAGE(D104:D105)</f>
        <v>5</v>
      </c>
      <c r="E103" s="34">
        <f t="shared" ref="E103" si="69">AVERAGE(E104:E105)</f>
        <v>8</v>
      </c>
      <c r="F103" s="34">
        <f t="shared" ref="F103" si="70">AVERAGE(F104:F105)</f>
        <v>5</v>
      </c>
      <c r="G103" s="41">
        <f t="shared" ref="G103" si="71">AVERAGE(G104:G105)</f>
        <v>6</v>
      </c>
      <c r="AH103">
        <v>1</v>
      </c>
      <c r="AI103" s="9"/>
      <c r="AJ103" s="9"/>
      <c r="AK103" s="9"/>
      <c r="AL103" s="9"/>
      <c r="AM103" s="9"/>
      <c r="AN103" s="9"/>
      <c r="AP103" s="9"/>
      <c r="AR103" s="9"/>
    </row>
    <row r="104" spans="1:44" x14ac:dyDescent="0.3">
      <c r="B104" s="5" t="s">
        <v>15</v>
      </c>
      <c r="C104" s="27">
        <v>8</v>
      </c>
      <c r="D104" s="27">
        <v>6</v>
      </c>
      <c r="E104" s="27">
        <v>9</v>
      </c>
      <c r="F104" s="27">
        <v>4</v>
      </c>
      <c r="G104" s="27">
        <v>7</v>
      </c>
      <c r="AC104" s="3" t="s">
        <v>2</v>
      </c>
      <c r="AH104">
        <v>0.06</v>
      </c>
      <c r="AI104" s="9"/>
      <c r="AJ104" s="9"/>
      <c r="AK104" s="9"/>
      <c r="AL104" s="9"/>
      <c r="AM104" s="9"/>
      <c r="AN104" s="9"/>
      <c r="AP104" s="9"/>
      <c r="AR104" s="9"/>
    </row>
    <row r="105" spans="1:44" x14ac:dyDescent="0.3">
      <c r="B105" s="5" t="s">
        <v>112</v>
      </c>
      <c r="C105" s="27">
        <v>8</v>
      </c>
      <c r="D105" s="27">
        <v>4</v>
      </c>
      <c r="E105" s="27">
        <v>7</v>
      </c>
      <c r="F105" s="27">
        <v>6</v>
      </c>
      <c r="G105" s="27">
        <v>5</v>
      </c>
      <c r="AD105" s="4" t="s">
        <v>97</v>
      </c>
      <c r="AH105">
        <v>1</v>
      </c>
      <c r="AI105" s="9">
        <f>AI93</f>
        <v>1</v>
      </c>
      <c r="AJ105" s="9">
        <f>AJ93</f>
        <v>10</v>
      </c>
      <c r="AK105" s="9">
        <f>AK93</f>
        <v>1</v>
      </c>
      <c r="AL105" s="9">
        <f>AL93</f>
        <v>5</v>
      </c>
      <c r="AM105" s="9">
        <f>AM93</f>
        <v>10</v>
      </c>
      <c r="AN105" s="9"/>
      <c r="AP105" s="9"/>
      <c r="AR105" s="9"/>
    </row>
    <row r="106" spans="1:44" x14ac:dyDescent="0.3">
      <c r="B106" s="5"/>
      <c r="C106" s="27"/>
      <c r="D106" s="27"/>
      <c r="E106" s="27"/>
      <c r="F106" s="27"/>
      <c r="G106" s="27"/>
      <c r="AD106" s="4" t="s">
        <v>96</v>
      </c>
      <c r="AH106">
        <v>1</v>
      </c>
      <c r="AI106" s="9">
        <v>8</v>
      </c>
      <c r="AJ106" s="9">
        <v>8</v>
      </c>
      <c r="AK106" s="9">
        <v>8</v>
      </c>
      <c r="AL106" s="9">
        <v>8</v>
      </c>
      <c r="AM106" s="9">
        <v>8</v>
      </c>
      <c r="AN106" s="9"/>
      <c r="AP106" s="9"/>
      <c r="AR106" s="9"/>
    </row>
    <row r="107" spans="1:44" x14ac:dyDescent="0.3">
      <c r="A107" s="23" t="s">
        <v>0</v>
      </c>
      <c r="B107" s="37"/>
      <c r="C107" s="34">
        <f>AVERAGE(C108:C110)</f>
        <v>5</v>
      </c>
      <c r="D107" s="34">
        <f t="shared" ref="D107:G107" si="72">AVERAGE(D108:D110)</f>
        <v>8</v>
      </c>
      <c r="E107" s="34">
        <f t="shared" si="72"/>
        <v>8.5</v>
      </c>
      <c r="F107" s="34">
        <f t="shared" si="72"/>
        <v>9</v>
      </c>
      <c r="G107" s="41">
        <f t="shared" si="72"/>
        <v>9</v>
      </c>
      <c r="AH107">
        <v>1</v>
      </c>
      <c r="AI107" s="9"/>
      <c r="AJ107" s="9"/>
      <c r="AK107" s="9"/>
      <c r="AL107" s="9"/>
      <c r="AM107" s="9"/>
      <c r="AN107" s="9"/>
      <c r="AP107" s="9"/>
      <c r="AR107" s="9"/>
    </row>
    <row r="108" spans="1:44" x14ac:dyDescent="0.3">
      <c r="B108" s="5" t="s">
        <v>113</v>
      </c>
      <c r="C108" s="27">
        <v>4</v>
      </c>
      <c r="D108" s="27">
        <v>8</v>
      </c>
      <c r="E108" s="27">
        <v>7</v>
      </c>
      <c r="F108" s="27">
        <v>10</v>
      </c>
      <c r="G108" s="27">
        <v>8</v>
      </c>
      <c r="AC108" s="3" t="s">
        <v>3</v>
      </c>
      <c r="AH108">
        <v>0.32</v>
      </c>
      <c r="AI108" s="9"/>
      <c r="AJ108" s="9"/>
      <c r="AK108" s="9"/>
      <c r="AL108" s="9"/>
      <c r="AM108" s="9"/>
      <c r="AN108" s="9"/>
      <c r="AP108" s="9"/>
      <c r="AR108" s="9"/>
    </row>
    <row r="109" spans="1:44" x14ac:dyDescent="0.3">
      <c r="B109" s="5" t="s">
        <v>114</v>
      </c>
      <c r="C109" s="27">
        <v>6</v>
      </c>
      <c r="D109" s="27">
        <v>8</v>
      </c>
      <c r="E109" s="27">
        <v>10</v>
      </c>
      <c r="F109" s="27">
        <v>8</v>
      </c>
      <c r="G109" s="27">
        <v>10</v>
      </c>
      <c r="AD109" s="4" t="s">
        <v>16</v>
      </c>
      <c r="AH109">
        <v>1</v>
      </c>
      <c r="AI109" s="9"/>
      <c r="AJ109" s="9"/>
      <c r="AK109" s="9"/>
      <c r="AL109" s="9"/>
      <c r="AM109" s="9"/>
      <c r="AN109" s="9"/>
      <c r="AP109" s="9"/>
      <c r="AR109" s="9"/>
    </row>
    <row r="110" spans="1:44" x14ac:dyDescent="0.3">
      <c r="B110" s="5" t="s">
        <v>97</v>
      </c>
      <c r="C110" s="27"/>
      <c r="D110" s="27"/>
      <c r="E110" s="27"/>
      <c r="F110" s="27"/>
      <c r="G110" s="27"/>
      <c r="AE110" t="s">
        <v>34</v>
      </c>
      <c r="AH110">
        <v>1</v>
      </c>
      <c r="AI110" s="9">
        <f>AI27</f>
        <v>1</v>
      </c>
      <c r="AJ110" s="9">
        <f>AJ27</f>
        <v>10</v>
      </c>
      <c r="AK110" s="9">
        <f>AK27</f>
        <v>1</v>
      </c>
      <c r="AL110" s="9">
        <f>AL27</f>
        <v>1</v>
      </c>
      <c r="AM110" s="9">
        <f>AM27</f>
        <v>10</v>
      </c>
      <c r="AN110" s="9"/>
      <c r="AP110" s="9"/>
      <c r="AR110" s="9"/>
    </row>
    <row r="111" spans="1:44" x14ac:dyDescent="0.3">
      <c r="B111" s="5"/>
      <c r="C111" s="27"/>
      <c r="D111" s="27"/>
      <c r="E111" s="27"/>
      <c r="F111" s="27"/>
      <c r="G111" s="27"/>
      <c r="AH111">
        <v>1</v>
      </c>
      <c r="AI111" s="9"/>
      <c r="AJ111" s="9"/>
      <c r="AK111" s="9"/>
      <c r="AL111" s="9"/>
      <c r="AM111" s="9"/>
      <c r="AN111" s="9"/>
      <c r="AP111" s="9"/>
      <c r="AR111" s="9"/>
    </row>
    <row r="112" spans="1:44" x14ac:dyDescent="0.3">
      <c r="A112" s="23" t="s">
        <v>17</v>
      </c>
      <c r="B112" s="37"/>
      <c r="C112" s="34">
        <f>AVERAGE(C113:C116)</f>
        <v>5.5</v>
      </c>
      <c r="D112" s="34">
        <f t="shared" ref="D112:G112" si="73">AVERAGE(D113:D116)</f>
        <v>5.5</v>
      </c>
      <c r="E112" s="34">
        <f t="shared" si="73"/>
        <v>9</v>
      </c>
      <c r="F112" s="34">
        <f t="shared" si="73"/>
        <v>5.5</v>
      </c>
      <c r="G112" s="41">
        <f t="shared" si="73"/>
        <v>9</v>
      </c>
      <c r="AD112" s="4" t="s">
        <v>74</v>
      </c>
      <c r="AH112">
        <v>1</v>
      </c>
      <c r="AI112" s="9"/>
      <c r="AJ112" s="9"/>
      <c r="AK112" s="9"/>
      <c r="AL112" s="9"/>
      <c r="AM112" s="9"/>
      <c r="AN112" s="9"/>
      <c r="AP112" s="9"/>
      <c r="AR112" s="9"/>
    </row>
    <row r="113" spans="1:44" x14ac:dyDescent="0.3">
      <c r="B113" s="5" t="s">
        <v>115</v>
      </c>
      <c r="C113" s="27">
        <v>6</v>
      </c>
      <c r="D113" s="27">
        <v>6</v>
      </c>
      <c r="E113" s="27">
        <v>9</v>
      </c>
      <c r="F113" s="27">
        <v>6</v>
      </c>
      <c r="G113" s="27">
        <v>9</v>
      </c>
      <c r="AE113" t="s">
        <v>76</v>
      </c>
      <c r="AH113">
        <v>1</v>
      </c>
      <c r="AI113" s="9">
        <v>4</v>
      </c>
      <c r="AJ113" s="9">
        <v>6</v>
      </c>
      <c r="AK113" s="9">
        <v>4</v>
      </c>
      <c r="AL113" s="9">
        <v>5</v>
      </c>
      <c r="AM113" s="9">
        <v>6</v>
      </c>
      <c r="AN113" s="9"/>
      <c r="AP113" s="9"/>
      <c r="AR113" s="9"/>
    </row>
    <row r="114" spans="1:44" x14ac:dyDescent="0.3">
      <c r="B114" s="5" t="s">
        <v>117</v>
      </c>
      <c r="C114" s="27">
        <v>6</v>
      </c>
      <c r="D114" s="27">
        <v>6</v>
      </c>
      <c r="E114" s="27">
        <v>9</v>
      </c>
      <c r="F114" s="27">
        <v>6</v>
      </c>
      <c r="G114" s="27">
        <v>9</v>
      </c>
      <c r="AE114" t="s">
        <v>77</v>
      </c>
      <c r="AH114">
        <v>1</v>
      </c>
      <c r="AI114" s="9">
        <v>1</v>
      </c>
      <c r="AJ114" s="9">
        <v>10</v>
      </c>
      <c r="AK114" s="9">
        <v>1</v>
      </c>
      <c r="AL114" s="9">
        <v>3</v>
      </c>
      <c r="AM114" s="9">
        <v>10</v>
      </c>
      <c r="AN114" s="9"/>
      <c r="AP114" s="9"/>
      <c r="AR114" s="9"/>
    </row>
    <row r="115" spans="1:44" x14ac:dyDescent="0.3">
      <c r="B115" s="5" t="s">
        <v>116</v>
      </c>
      <c r="C115" s="27">
        <v>4</v>
      </c>
      <c r="D115" s="27">
        <v>4</v>
      </c>
      <c r="E115" s="27">
        <v>9</v>
      </c>
      <c r="F115" s="27">
        <v>4</v>
      </c>
      <c r="G115" s="27">
        <v>9</v>
      </c>
      <c r="AH115">
        <v>1</v>
      </c>
      <c r="AI115" s="9"/>
      <c r="AJ115" s="9"/>
      <c r="AK115" s="9"/>
      <c r="AL115" s="9"/>
      <c r="AM115" s="9"/>
      <c r="AN115" s="9"/>
      <c r="AP115" s="9"/>
      <c r="AR115" s="9"/>
    </row>
    <row r="116" spans="1:44" x14ac:dyDescent="0.3">
      <c r="B116" s="5" t="s">
        <v>118</v>
      </c>
      <c r="C116" s="27">
        <v>6</v>
      </c>
      <c r="D116" s="27">
        <v>6</v>
      </c>
      <c r="E116" s="27">
        <v>9</v>
      </c>
      <c r="F116" s="27">
        <v>6</v>
      </c>
      <c r="G116" s="27">
        <v>9</v>
      </c>
      <c r="AD116" s="4" t="s">
        <v>75</v>
      </c>
      <c r="AH116">
        <v>1</v>
      </c>
      <c r="AI116" s="9"/>
      <c r="AJ116" s="9"/>
      <c r="AK116" s="9"/>
      <c r="AL116" s="9"/>
      <c r="AM116" s="9"/>
      <c r="AN116" s="9"/>
      <c r="AP116" s="9"/>
      <c r="AR116" s="9"/>
    </row>
    <row r="117" spans="1:44" x14ac:dyDescent="0.3">
      <c r="B117" s="5"/>
      <c r="C117" s="27"/>
      <c r="D117" s="27"/>
      <c r="E117" s="27"/>
      <c r="F117" s="27"/>
      <c r="G117" s="27"/>
      <c r="AE117" t="s">
        <v>56</v>
      </c>
      <c r="AH117">
        <v>1</v>
      </c>
      <c r="AI117" s="9">
        <v>9</v>
      </c>
      <c r="AJ117" s="9">
        <v>9</v>
      </c>
      <c r="AK117" s="9">
        <v>9</v>
      </c>
      <c r="AL117" s="9">
        <v>10</v>
      </c>
      <c r="AM117" s="9">
        <v>9</v>
      </c>
      <c r="AN117" s="9"/>
      <c r="AP117" s="9"/>
      <c r="AR117" s="9"/>
    </row>
    <row r="118" spans="1:44" x14ac:dyDescent="0.3">
      <c r="A118" s="23" t="s">
        <v>101</v>
      </c>
      <c r="B118" s="37"/>
      <c r="C118" s="34">
        <f>AVERAGE(C119:C122)</f>
        <v>5.5</v>
      </c>
      <c r="D118" s="34">
        <f t="shared" ref="D118" si="74">AVERAGE(D119:D122)</f>
        <v>7.5</v>
      </c>
      <c r="E118" s="34">
        <f t="shared" ref="E118" si="75">AVERAGE(E119:E122)</f>
        <v>5.25</v>
      </c>
      <c r="F118" s="34">
        <f t="shared" ref="F118" si="76">AVERAGE(F119:F122)</f>
        <v>4.25</v>
      </c>
      <c r="G118" s="41">
        <f t="shared" ref="G118" si="77">AVERAGE(G119:G122)</f>
        <v>7.75</v>
      </c>
      <c r="AE118" t="s">
        <v>57</v>
      </c>
      <c r="AH118">
        <v>1</v>
      </c>
      <c r="AI118" s="9">
        <v>7</v>
      </c>
      <c r="AJ118" s="9">
        <v>7</v>
      </c>
      <c r="AK118" s="9">
        <v>9</v>
      </c>
      <c r="AL118" s="9">
        <v>7</v>
      </c>
      <c r="AM118" s="9">
        <v>9</v>
      </c>
      <c r="AN118" s="9"/>
      <c r="AP118" s="9"/>
      <c r="AR118" s="9"/>
    </row>
    <row r="119" spans="1:44" x14ac:dyDescent="0.3">
      <c r="B119" s="5" t="s">
        <v>119</v>
      </c>
      <c r="C119" s="28">
        <v>9</v>
      </c>
      <c r="D119" s="28">
        <v>2</v>
      </c>
      <c r="E119" s="28">
        <v>8</v>
      </c>
      <c r="F119" s="28">
        <v>10</v>
      </c>
      <c r="G119" s="28">
        <v>1</v>
      </c>
      <c r="AE119" t="s">
        <v>58</v>
      </c>
      <c r="AH119">
        <v>1</v>
      </c>
      <c r="AI119" s="9">
        <v>8</v>
      </c>
      <c r="AJ119" s="9">
        <v>8</v>
      </c>
      <c r="AK119" s="9">
        <v>9</v>
      </c>
      <c r="AL119" s="9">
        <v>8</v>
      </c>
      <c r="AM119" s="9">
        <v>9</v>
      </c>
      <c r="AN119" s="9"/>
      <c r="AP119" s="9"/>
      <c r="AR119" s="9"/>
    </row>
    <row r="120" spans="1:44" x14ac:dyDescent="0.3">
      <c r="B120" s="5" t="s">
        <v>120</v>
      </c>
      <c r="C120" s="28">
        <v>4</v>
      </c>
      <c r="D120" s="28">
        <v>10</v>
      </c>
      <c r="E120" s="28">
        <v>4</v>
      </c>
      <c r="F120" s="28">
        <v>1</v>
      </c>
      <c r="G120" s="28">
        <v>10</v>
      </c>
      <c r="AH120">
        <v>1</v>
      </c>
      <c r="AI120" s="9"/>
      <c r="AJ120" s="9"/>
      <c r="AK120" s="9"/>
      <c r="AL120" s="9"/>
      <c r="AM120" s="9"/>
      <c r="AN120" s="9"/>
      <c r="AP120" s="9"/>
      <c r="AR120" s="9"/>
    </row>
    <row r="121" spans="1:44" x14ac:dyDescent="0.3">
      <c r="B121" s="5" t="s">
        <v>121</v>
      </c>
      <c r="C121" s="28">
        <v>4</v>
      </c>
      <c r="D121" s="28">
        <v>10</v>
      </c>
      <c r="E121" s="28">
        <v>4</v>
      </c>
      <c r="F121" s="28">
        <v>1</v>
      </c>
      <c r="G121" s="28">
        <v>10</v>
      </c>
      <c r="AD121" t="s">
        <v>78</v>
      </c>
      <c r="AH121">
        <v>1</v>
      </c>
      <c r="AI121" s="9"/>
      <c r="AJ121" s="9"/>
      <c r="AK121" s="9"/>
      <c r="AL121" s="9"/>
      <c r="AM121" s="9"/>
      <c r="AN121" s="9"/>
      <c r="AP121" s="9"/>
      <c r="AR121" s="9"/>
    </row>
    <row r="122" spans="1:44" x14ac:dyDescent="0.3">
      <c r="B122" s="5" t="s">
        <v>122</v>
      </c>
      <c r="C122" s="28">
        <v>5</v>
      </c>
      <c r="D122" s="28">
        <v>8</v>
      </c>
      <c r="E122" s="28">
        <v>5</v>
      </c>
      <c r="F122" s="28">
        <v>5</v>
      </c>
      <c r="G122" s="28">
        <v>10</v>
      </c>
      <c r="AE122" t="s">
        <v>79</v>
      </c>
      <c r="AH122">
        <v>1</v>
      </c>
      <c r="AI122" s="9"/>
      <c r="AJ122" s="9"/>
      <c r="AK122" s="9"/>
      <c r="AL122" s="9"/>
      <c r="AM122" s="9"/>
      <c r="AN122" s="9"/>
      <c r="AP122" s="9"/>
      <c r="AR122" s="9"/>
    </row>
    <row r="123" spans="1:44" x14ac:dyDescent="0.3">
      <c r="B123" s="5"/>
      <c r="C123" s="27"/>
      <c r="D123" s="27"/>
      <c r="E123" s="27"/>
      <c r="F123" s="27"/>
      <c r="G123" s="27"/>
      <c r="AF123" t="s">
        <v>28</v>
      </c>
      <c r="AH123">
        <v>1</v>
      </c>
      <c r="AI123" s="9">
        <f t="shared" ref="AI123:AI128" si="78">AI71</f>
        <v>5</v>
      </c>
      <c r="AJ123" s="9">
        <f t="shared" ref="AJ123:AJ128" si="79">AJ71</f>
        <v>10</v>
      </c>
      <c r="AK123" s="9">
        <f t="shared" ref="AK123:AK128" si="80">AK71</f>
        <v>5</v>
      </c>
      <c r="AL123" s="9">
        <f t="shared" ref="AL123:AL128" si="81">AL71</f>
        <v>10</v>
      </c>
      <c r="AM123" s="9">
        <f t="shared" ref="AM123:AM128" si="82">AM71</f>
        <v>10</v>
      </c>
      <c r="AN123" s="9"/>
      <c r="AP123" s="9"/>
      <c r="AR123" s="9"/>
    </row>
    <row r="124" spans="1:44" x14ac:dyDescent="0.3">
      <c r="A124" s="23" t="s">
        <v>102</v>
      </c>
      <c r="B124" s="37"/>
      <c r="C124" s="34">
        <f>AVERAGE(C125:C126)</f>
        <v>10</v>
      </c>
      <c r="D124" s="34">
        <f t="shared" ref="D124" si="83">AVERAGE(D125:D126)</f>
        <v>2.5</v>
      </c>
      <c r="E124" s="34">
        <f t="shared" ref="E124" si="84">AVERAGE(E125:E126)</f>
        <v>10</v>
      </c>
      <c r="F124" s="34">
        <f t="shared" ref="F124" si="85">AVERAGE(F125:F126)</f>
        <v>7.5</v>
      </c>
      <c r="G124" s="41">
        <f t="shared" ref="G124" si="86">AVERAGE(G125:G126)</f>
        <v>2.5</v>
      </c>
      <c r="AF124" t="s">
        <v>29</v>
      </c>
      <c r="AH124">
        <v>1</v>
      </c>
      <c r="AI124" s="9">
        <f t="shared" si="78"/>
        <v>8</v>
      </c>
      <c r="AJ124" s="9">
        <f t="shared" si="79"/>
        <v>10</v>
      </c>
      <c r="AK124" s="9">
        <f t="shared" si="80"/>
        <v>8</v>
      </c>
      <c r="AL124" s="9">
        <f t="shared" si="81"/>
        <v>9</v>
      </c>
      <c r="AM124" s="9">
        <f t="shared" si="82"/>
        <v>10</v>
      </c>
      <c r="AN124" s="9"/>
      <c r="AP124" s="9"/>
      <c r="AR124" s="9"/>
    </row>
    <row r="125" spans="1:44" x14ac:dyDescent="0.3">
      <c r="B125" s="5" t="s">
        <v>123</v>
      </c>
      <c r="C125" s="28">
        <v>10</v>
      </c>
      <c r="D125" s="28">
        <v>1</v>
      </c>
      <c r="E125" s="28">
        <v>10</v>
      </c>
      <c r="F125" s="28">
        <v>8</v>
      </c>
      <c r="G125" s="28">
        <v>1</v>
      </c>
      <c r="AF125" t="s">
        <v>30</v>
      </c>
      <c r="AH125">
        <v>1</v>
      </c>
      <c r="AI125" s="9">
        <f t="shared" si="78"/>
        <v>8</v>
      </c>
      <c r="AJ125" s="9">
        <f t="shared" si="79"/>
        <v>8</v>
      </c>
      <c r="AK125" s="9">
        <f t="shared" si="80"/>
        <v>10</v>
      </c>
      <c r="AL125" s="9">
        <f t="shared" si="81"/>
        <v>8</v>
      </c>
      <c r="AM125" s="9">
        <f t="shared" si="82"/>
        <v>10</v>
      </c>
      <c r="AN125" s="9"/>
      <c r="AP125" s="9"/>
      <c r="AR125" s="9"/>
    </row>
    <row r="126" spans="1:44" x14ac:dyDescent="0.3">
      <c r="B126" s="5" t="s">
        <v>126</v>
      </c>
      <c r="C126" s="28">
        <v>10</v>
      </c>
      <c r="D126" s="28">
        <v>4</v>
      </c>
      <c r="E126" s="28">
        <v>10</v>
      </c>
      <c r="F126" s="28">
        <v>7</v>
      </c>
      <c r="G126" s="28">
        <v>4</v>
      </c>
      <c r="AF126" t="s">
        <v>31</v>
      </c>
      <c r="AH126">
        <v>1</v>
      </c>
      <c r="AI126" s="9">
        <f t="shared" si="78"/>
        <v>10</v>
      </c>
      <c r="AJ126" s="9">
        <f t="shared" si="79"/>
        <v>10</v>
      </c>
      <c r="AK126" s="9">
        <f t="shared" si="80"/>
        <v>7</v>
      </c>
      <c r="AL126" s="9">
        <f t="shared" si="81"/>
        <v>10</v>
      </c>
      <c r="AM126" s="9">
        <f t="shared" si="82"/>
        <v>7</v>
      </c>
      <c r="AN126" s="9"/>
      <c r="AP126" s="9"/>
      <c r="AR126" s="9"/>
    </row>
    <row r="127" spans="1:44" x14ac:dyDescent="0.3">
      <c r="B127" s="5"/>
      <c r="C127" s="27"/>
      <c r="D127" s="27"/>
      <c r="E127" s="27"/>
      <c r="F127" s="27"/>
      <c r="G127" s="27"/>
      <c r="AF127" t="s">
        <v>32</v>
      </c>
      <c r="AH127">
        <v>1</v>
      </c>
      <c r="AI127" s="9">
        <f t="shared" si="78"/>
        <v>6</v>
      </c>
      <c r="AJ127" s="9">
        <f t="shared" si="79"/>
        <v>10</v>
      </c>
      <c r="AK127" s="9">
        <f t="shared" si="80"/>
        <v>6</v>
      </c>
      <c r="AL127" s="9">
        <f t="shared" si="81"/>
        <v>6</v>
      </c>
      <c r="AM127" s="9">
        <f t="shared" si="82"/>
        <v>10</v>
      </c>
      <c r="AN127" s="9"/>
      <c r="AP127" s="9"/>
      <c r="AR127" s="9"/>
    </row>
    <row r="128" spans="1:44" x14ac:dyDescent="0.3">
      <c r="A128" s="23" t="s">
        <v>63</v>
      </c>
      <c r="B128" s="37"/>
      <c r="C128" s="34">
        <f>AVERAGE(C129:C130)</f>
        <v>9</v>
      </c>
      <c r="D128" s="34">
        <f t="shared" ref="D128" si="87">AVERAGE(D129:D130)</f>
        <v>4</v>
      </c>
      <c r="E128" s="34">
        <f t="shared" ref="E128" si="88">AVERAGE(E129:E130)</f>
        <v>9</v>
      </c>
      <c r="F128" s="34">
        <f t="shared" ref="F128" si="89">AVERAGE(F129:F130)</f>
        <v>6.5</v>
      </c>
      <c r="G128" s="41">
        <f t="shared" ref="G128" si="90">AVERAGE(G129:G130)</f>
        <v>4</v>
      </c>
      <c r="AF128" t="s">
        <v>50</v>
      </c>
      <c r="AH128">
        <v>1</v>
      </c>
      <c r="AI128" s="9">
        <f t="shared" si="78"/>
        <v>5</v>
      </c>
      <c r="AJ128" s="9">
        <f t="shared" si="79"/>
        <v>5</v>
      </c>
      <c r="AK128" s="9">
        <f t="shared" si="80"/>
        <v>5</v>
      </c>
      <c r="AL128" s="9">
        <f t="shared" si="81"/>
        <v>5</v>
      </c>
      <c r="AM128" s="9">
        <f t="shared" si="82"/>
        <v>5</v>
      </c>
      <c r="AN128" s="9"/>
      <c r="AP128" s="9"/>
      <c r="AR128" s="9"/>
    </row>
    <row r="129" spans="2:44" x14ac:dyDescent="0.3">
      <c r="B129" s="5" t="s">
        <v>124</v>
      </c>
      <c r="C129" s="27">
        <v>8</v>
      </c>
      <c r="D129" s="27">
        <v>7</v>
      </c>
      <c r="E129" s="27">
        <v>8</v>
      </c>
      <c r="F129" s="27">
        <v>5</v>
      </c>
      <c r="G129" s="27">
        <v>7</v>
      </c>
      <c r="AH129">
        <v>1</v>
      </c>
      <c r="AI129" s="9"/>
      <c r="AJ129" s="9"/>
      <c r="AK129" s="9"/>
      <c r="AL129" s="9"/>
      <c r="AN129" s="9"/>
      <c r="AP129" s="9"/>
      <c r="AR129" s="9"/>
    </row>
    <row r="130" spans="2:44" x14ac:dyDescent="0.3">
      <c r="B130" s="5" t="s">
        <v>125</v>
      </c>
      <c r="C130" s="27">
        <v>10</v>
      </c>
      <c r="D130" s="27">
        <v>1</v>
      </c>
      <c r="E130" s="27">
        <v>10</v>
      </c>
      <c r="F130" s="27">
        <v>8</v>
      </c>
      <c r="G130" s="27">
        <v>1</v>
      </c>
      <c r="AE130" t="s">
        <v>80</v>
      </c>
      <c r="AG130" s="16"/>
      <c r="AH130">
        <v>1</v>
      </c>
      <c r="AI130" s="9"/>
      <c r="AJ130" s="9"/>
      <c r="AK130" s="9"/>
      <c r="AL130" s="9"/>
      <c r="AN130" s="9"/>
      <c r="AP130" s="9"/>
      <c r="AR130" s="9"/>
    </row>
    <row r="131" spans="2:44" x14ac:dyDescent="0.3">
      <c r="C131" s="2"/>
      <c r="D131" s="2"/>
      <c r="E131" s="2"/>
      <c r="F131" s="2"/>
      <c r="G131" s="2"/>
      <c r="H131" s="2"/>
      <c r="AF131" t="s">
        <v>81</v>
      </c>
      <c r="AG131" s="14"/>
      <c r="AH131">
        <v>1</v>
      </c>
      <c r="AI131" s="9">
        <v>3</v>
      </c>
      <c r="AJ131" s="9">
        <v>10</v>
      </c>
      <c r="AK131" s="9">
        <v>3</v>
      </c>
      <c r="AL131" s="9">
        <v>4</v>
      </c>
      <c r="AM131" s="9">
        <v>10</v>
      </c>
      <c r="AN131" s="9"/>
      <c r="AP131" s="9"/>
      <c r="AR131" s="9"/>
    </row>
    <row r="132" spans="2:44" x14ac:dyDescent="0.3">
      <c r="C132" s="2"/>
      <c r="D132" s="2"/>
      <c r="E132" s="2"/>
      <c r="F132" s="2"/>
      <c r="G132" s="2"/>
      <c r="H132" s="2"/>
      <c r="AF132" t="s">
        <v>82</v>
      </c>
      <c r="AH132">
        <v>1</v>
      </c>
      <c r="AI132" s="9">
        <v>3</v>
      </c>
      <c r="AJ132" s="9">
        <v>10</v>
      </c>
      <c r="AK132" s="9">
        <v>3</v>
      </c>
      <c r="AL132" s="9">
        <v>8</v>
      </c>
      <c r="AM132" s="9">
        <v>10</v>
      </c>
      <c r="AN132" s="9"/>
      <c r="AP132" s="9"/>
      <c r="AR132" s="9"/>
    </row>
    <row r="133" spans="2:44" x14ac:dyDescent="0.3">
      <c r="C133" s="2"/>
      <c r="D133" s="2"/>
      <c r="E133" s="2"/>
      <c r="F133" s="2"/>
      <c r="G133" s="2"/>
      <c r="H133" s="2"/>
      <c r="AF133" t="s">
        <v>83</v>
      </c>
      <c r="AH133">
        <v>1</v>
      </c>
      <c r="AI133" s="9">
        <v>3</v>
      </c>
      <c r="AJ133" s="9">
        <v>10</v>
      </c>
      <c r="AK133" s="9">
        <v>3</v>
      </c>
      <c r="AL133" s="9">
        <v>5</v>
      </c>
      <c r="AM133" s="9">
        <v>10</v>
      </c>
      <c r="AN133" s="9"/>
      <c r="AP133" s="9"/>
      <c r="AR133" s="9"/>
    </row>
    <row r="134" spans="2:44" x14ac:dyDescent="0.3">
      <c r="C134" s="2"/>
      <c r="D134" s="2"/>
      <c r="E134" s="2"/>
      <c r="F134" s="2"/>
      <c r="G134" s="2"/>
      <c r="H134" s="2"/>
      <c r="AF134" t="s">
        <v>84</v>
      </c>
      <c r="AH134">
        <v>1</v>
      </c>
      <c r="AI134" s="9">
        <v>7</v>
      </c>
      <c r="AJ134" s="9">
        <v>10</v>
      </c>
      <c r="AK134" s="9">
        <v>7</v>
      </c>
      <c r="AL134" s="9">
        <v>9</v>
      </c>
      <c r="AM134" s="9">
        <v>10</v>
      </c>
      <c r="AN134" s="9"/>
      <c r="AP134" s="9"/>
      <c r="AR134" s="9"/>
    </row>
    <row r="135" spans="2:44" x14ac:dyDescent="0.3">
      <c r="C135" s="2"/>
      <c r="D135" s="2"/>
      <c r="E135" s="2"/>
      <c r="F135" s="2"/>
      <c r="G135" s="2"/>
      <c r="H135" s="2"/>
      <c r="AF135" t="s">
        <v>85</v>
      </c>
      <c r="AG135" s="16"/>
      <c r="AH135">
        <v>1</v>
      </c>
      <c r="AI135" s="9">
        <v>5</v>
      </c>
      <c r="AJ135" s="9">
        <v>5</v>
      </c>
      <c r="AK135" s="9">
        <v>10</v>
      </c>
      <c r="AL135" s="9">
        <v>5</v>
      </c>
      <c r="AM135" s="9">
        <v>10</v>
      </c>
      <c r="AN135" s="9"/>
      <c r="AP135" s="9"/>
      <c r="AR135" s="9"/>
    </row>
    <row r="136" spans="2:44" x14ac:dyDescent="0.3">
      <c r="C136" s="2"/>
      <c r="D136" s="2"/>
      <c r="E136" s="2"/>
      <c r="F136" s="2"/>
      <c r="G136" s="2"/>
      <c r="H136" s="2"/>
      <c r="AF136" t="s">
        <v>88</v>
      </c>
      <c r="AG136" s="14"/>
      <c r="AH136">
        <v>1</v>
      </c>
      <c r="AI136" s="9">
        <v>8</v>
      </c>
      <c r="AJ136" s="9">
        <v>8</v>
      </c>
      <c r="AK136" s="9">
        <v>6</v>
      </c>
      <c r="AL136" s="9">
        <v>8</v>
      </c>
      <c r="AM136" s="9">
        <v>6</v>
      </c>
      <c r="AN136" s="9"/>
      <c r="AP136" s="9"/>
      <c r="AR136" s="9"/>
    </row>
    <row r="137" spans="2:44" x14ac:dyDescent="0.3">
      <c r="C137" s="2"/>
      <c r="D137" s="2"/>
      <c r="E137" s="2"/>
      <c r="F137" s="2"/>
      <c r="G137" s="2"/>
      <c r="H137" s="2"/>
      <c r="AF137" t="s">
        <v>87</v>
      </c>
      <c r="AH137">
        <v>1</v>
      </c>
      <c r="AI137" s="9">
        <v>5</v>
      </c>
      <c r="AJ137" s="9">
        <v>5</v>
      </c>
      <c r="AK137" s="9">
        <v>10</v>
      </c>
      <c r="AL137" s="9">
        <v>5</v>
      </c>
      <c r="AM137" s="9">
        <v>10</v>
      </c>
      <c r="AN137" s="9"/>
      <c r="AP137" s="9"/>
      <c r="AR137" s="9"/>
    </row>
    <row r="138" spans="2:44" x14ac:dyDescent="0.3">
      <c r="C138" s="2"/>
      <c r="D138" s="2"/>
      <c r="E138" s="2"/>
      <c r="F138" s="2"/>
      <c r="G138" s="2"/>
      <c r="H138" s="2"/>
      <c r="AF138" t="s">
        <v>86</v>
      </c>
      <c r="AH138">
        <v>1</v>
      </c>
      <c r="AI138" s="9">
        <v>6</v>
      </c>
      <c r="AJ138" s="9">
        <v>6</v>
      </c>
      <c r="AK138" s="9">
        <v>7</v>
      </c>
      <c r="AL138" s="9">
        <v>6</v>
      </c>
      <c r="AM138" s="9">
        <v>7</v>
      </c>
      <c r="AN138" s="9"/>
      <c r="AP138" s="9"/>
      <c r="AR138" s="9"/>
    </row>
    <row r="139" spans="2:44" x14ac:dyDescent="0.3">
      <c r="C139" s="2"/>
      <c r="D139" s="2"/>
      <c r="E139" s="2"/>
      <c r="F139" s="2"/>
      <c r="G139" s="2"/>
      <c r="H139" s="2"/>
      <c r="AH139">
        <v>1</v>
      </c>
      <c r="AI139" s="9"/>
      <c r="AJ139" s="9"/>
      <c r="AK139" s="9"/>
      <c r="AL139" s="9"/>
      <c r="AM139" s="9"/>
      <c r="AN139" s="9"/>
      <c r="AP139" s="9"/>
      <c r="AR139" s="9"/>
    </row>
    <row r="140" spans="2:44" x14ac:dyDescent="0.3">
      <c r="C140" s="2"/>
      <c r="D140" s="2"/>
      <c r="E140" s="2"/>
      <c r="F140" s="2"/>
      <c r="G140" s="2"/>
      <c r="H140" s="2"/>
      <c r="AC140" s="3" t="s">
        <v>13</v>
      </c>
      <c r="AG140" s="16"/>
      <c r="AH140">
        <v>0.08</v>
      </c>
      <c r="AI140" s="9"/>
      <c r="AJ140" s="9"/>
      <c r="AL140" s="9"/>
      <c r="AM140" s="9"/>
      <c r="AN140" s="9"/>
      <c r="AP140" s="9"/>
      <c r="AR140" s="9"/>
    </row>
    <row r="141" spans="2:44" x14ac:dyDescent="0.3">
      <c r="C141" s="2"/>
      <c r="D141" s="2"/>
      <c r="E141" s="2"/>
      <c r="F141" s="2"/>
      <c r="G141" s="2"/>
      <c r="H141" s="2"/>
      <c r="AC141" s="1">
        <f>AC6</f>
        <v>0</v>
      </c>
      <c r="AH141">
        <v>1</v>
      </c>
      <c r="AI141" s="9"/>
      <c r="AJ141" s="9"/>
      <c r="AK141" s="9"/>
      <c r="AM141" s="9"/>
      <c r="AN141" s="9"/>
      <c r="AO141" s="9"/>
      <c r="AP141" s="9"/>
      <c r="AR141" s="9"/>
    </row>
    <row r="142" spans="2:44" x14ac:dyDescent="0.3">
      <c r="C142" s="2"/>
      <c r="D142" s="2"/>
      <c r="E142" s="2"/>
      <c r="F142" s="2"/>
      <c r="G142" s="2"/>
      <c r="H142" s="2"/>
      <c r="AC142" s="1" t="str">
        <f>AD57</f>
        <v>Ersatzteilbedarf</v>
      </c>
      <c r="AH142">
        <v>1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spans="2:44" x14ac:dyDescent="0.3">
      <c r="C143" s="2"/>
      <c r="D143" s="2"/>
      <c r="E143" s="2"/>
      <c r="F143" s="2"/>
      <c r="G143" s="2"/>
      <c r="H143" s="2"/>
      <c r="AC143" s="1" t="str">
        <f>AD106</f>
        <v>Betriebsdauer</v>
      </c>
      <c r="AH143">
        <v>1</v>
      </c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 spans="2:44" x14ac:dyDescent="0.3">
      <c r="C144" s="2"/>
      <c r="D144" s="2"/>
      <c r="E144" s="2"/>
      <c r="F144" s="2"/>
      <c r="G144" s="2"/>
      <c r="H144" s="2"/>
      <c r="AH144">
        <v>1</v>
      </c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spans="3:44" x14ac:dyDescent="0.3">
      <c r="C145" s="2"/>
      <c r="D145" s="2"/>
      <c r="E145" s="2"/>
      <c r="F145" s="2"/>
      <c r="G145" s="2"/>
      <c r="H145" s="2"/>
      <c r="AG145" s="16"/>
      <c r="AH145">
        <v>1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spans="3:44" x14ac:dyDescent="0.3">
      <c r="C146" s="2"/>
      <c r="D146" s="2"/>
      <c r="E146" s="2"/>
      <c r="F146" s="2"/>
      <c r="G146" s="2"/>
      <c r="H146" s="2"/>
      <c r="AH146">
        <v>1</v>
      </c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3:44" x14ac:dyDescent="0.3">
      <c r="C147" s="2"/>
      <c r="D147" s="2"/>
      <c r="E147" s="2"/>
      <c r="F147" s="2"/>
      <c r="G147" s="2"/>
      <c r="H147" s="2"/>
      <c r="AH147">
        <v>1</v>
      </c>
      <c r="AJ147" s="9"/>
      <c r="AK147" s="9"/>
      <c r="AL147" s="9"/>
      <c r="AM147" s="9"/>
      <c r="AN147" s="9"/>
      <c r="AO147" s="9"/>
      <c r="AP147" s="9"/>
      <c r="AQ147" s="9"/>
      <c r="AR147" s="9"/>
    </row>
    <row r="148" spans="3:44" x14ac:dyDescent="0.3">
      <c r="C148" s="2"/>
      <c r="D148" s="2"/>
      <c r="E148" s="2"/>
      <c r="F148" s="2"/>
      <c r="G148" s="2"/>
      <c r="H148" s="2"/>
      <c r="AH148">
        <v>1</v>
      </c>
      <c r="AJ148" s="9"/>
      <c r="AK148" s="9"/>
      <c r="AL148" s="9"/>
      <c r="AM148" s="9"/>
      <c r="AN148" s="9"/>
      <c r="AO148" s="9"/>
      <c r="AP148" s="9"/>
      <c r="AQ148" s="9"/>
      <c r="AR148" s="9"/>
    </row>
    <row r="149" spans="3:44" x14ac:dyDescent="0.3">
      <c r="C149" s="2"/>
      <c r="D149" s="2"/>
      <c r="E149" s="2"/>
      <c r="F149" s="2"/>
      <c r="G149" s="2"/>
      <c r="H149" s="2"/>
      <c r="AH149">
        <v>1</v>
      </c>
      <c r="AJ149" s="9"/>
      <c r="AK149" s="9"/>
      <c r="AL149" s="9"/>
      <c r="AM149" s="9"/>
      <c r="AN149" s="9"/>
      <c r="AO149" s="9"/>
      <c r="AP149" s="9"/>
      <c r="AQ149" s="9"/>
      <c r="AR149" s="9"/>
    </row>
    <row r="150" spans="3:44" x14ac:dyDescent="0.3">
      <c r="C150" s="2"/>
      <c r="D150" s="2"/>
      <c r="E150" s="2"/>
      <c r="F150" s="2"/>
      <c r="G150" s="2"/>
      <c r="H150" s="2"/>
    </row>
    <row r="151" spans="3:44" x14ac:dyDescent="0.3">
      <c r="C151" s="2"/>
      <c r="D151" s="2"/>
      <c r="E151" s="2"/>
      <c r="F151" s="2"/>
      <c r="G151" s="2"/>
      <c r="H151" s="2"/>
    </row>
    <row r="152" spans="3:44" x14ac:dyDescent="0.3">
      <c r="C152" s="2"/>
      <c r="D152" s="2"/>
      <c r="E152" s="2"/>
      <c r="F152" s="2"/>
      <c r="G152" s="2"/>
      <c r="H152" s="2"/>
    </row>
    <row r="153" spans="3:44" x14ac:dyDescent="0.3">
      <c r="C153" s="2"/>
      <c r="D153" s="2"/>
      <c r="E153" s="2"/>
      <c r="F153" s="2"/>
      <c r="G153" s="2"/>
      <c r="H153" s="2"/>
      <c r="AG153" t="s">
        <v>94</v>
      </c>
      <c r="AH153">
        <f>SUM(AH5:AH149)</f>
        <v>130.18</v>
      </c>
    </row>
    <row r="154" spans="3:44" x14ac:dyDescent="0.3">
      <c r="C154" s="2"/>
      <c r="D154" s="2"/>
      <c r="E154" s="2"/>
      <c r="F154" s="2"/>
      <c r="G154" s="2"/>
      <c r="H154" s="2"/>
    </row>
    <row r="155" spans="3:44" x14ac:dyDescent="0.3">
      <c r="C155" s="2"/>
      <c r="D155" s="2"/>
      <c r="E155" s="2"/>
      <c r="F155" s="2"/>
      <c r="G155" s="2"/>
      <c r="H155" s="2"/>
    </row>
    <row r="156" spans="3:44" x14ac:dyDescent="0.3">
      <c r="C156" s="2"/>
      <c r="D156" s="2"/>
      <c r="E156" s="2"/>
      <c r="F156" s="2"/>
      <c r="G156" s="2"/>
      <c r="H156" s="2"/>
    </row>
    <row r="157" spans="3:44" x14ac:dyDescent="0.3">
      <c r="C157" s="2"/>
      <c r="D157" s="2"/>
      <c r="E157" s="2"/>
      <c r="F157" s="2"/>
      <c r="G157" s="2"/>
      <c r="H157" s="2"/>
    </row>
    <row r="158" spans="3:44" x14ac:dyDescent="0.3">
      <c r="C158" s="2"/>
      <c r="D158" s="2"/>
      <c r="E158" s="2"/>
      <c r="F158" s="2"/>
      <c r="G158" s="2"/>
      <c r="H158" s="2"/>
    </row>
    <row r="159" spans="3:44" x14ac:dyDescent="0.3">
      <c r="C159" s="2"/>
      <c r="D159" s="2"/>
      <c r="E159" s="2"/>
      <c r="F159" s="2"/>
      <c r="G159" s="2"/>
      <c r="H159" s="2"/>
    </row>
    <row r="160" spans="3:44" x14ac:dyDescent="0.3">
      <c r="C160" s="2"/>
      <c r="D160" s="2"/>
      <c r="E160" s="2"/>
      <c r="F160" s="2"/>
      <c r="G160" s="2"/>
      <c r="H160" s="2"/>
    </row>
    <row r="161" spans="3:8" x14ac:dyDescent="0.3">
      <c r="C161" s="2"/>
      <c r="D161" s="2"/>
      <c r="E161" s="2"/>
      <c r="F161" s="2"/>
      <c r="G161" s="2"/>
      <c r="H161" s="2"/>
    </row>
    <row r="162" spans="3:8" x14ac:dyDescent="0.3">
      <c r="C162" s="2"/>
      <c r="D162" s="2"/>
      <c r="E162" s="2"/>
      <c r="F162" s="2"/>
      <c r="G162" s="2"/>
      <c r="H162" s="2"/>
    </row>
    <row r="163" spans="3:8" x14ac:dyDescent="0.3">
      <c r="C163" s="2"/>
      <c r="D163" s="2"/>
      <c r="E163" s="2"/>
      <c r="F163" s="2"/>
      <c r="G163" s="2"/>
      <c r="H163" s="2"/>
    </row>
    <row r="164" spans="3:8" x14ac:dyDescent="0.3">
      <c r="C164" s="2"/>
      <c r="D164" s="2"/>
      <c r="E164" s="2"/>
      <c r="F164" s="2"/>
      <c r="G164" s="2"/>
      <c r="H164" s="2"/>
    </row>
    <row r="165" spans="3:8" x14ac:dyDescent="0.3">
      <c r="C165" s="2"/>
      <c r="D165" s="2"/>
      <c r="E165" s="2"/>
      <c r="F165" s="2"/>
      <c r="G165" s="2"/>
      <c r="H165" s="2"/>
    </row>
    <row r="166" spans="3:8" x14ac:dyDescent="0.3">
      <c r="C166" s="2"/>
      <c r="D166" s="2"/>
      <c r="E166" s="2"/>
      <c r="F166" s="2"/>
      <c r="G166" s="2"/>
      <c r="H166" s="2"/>
    </row>
    <row r="167" spans="3:8" x14ac:dyDescent="0.3">
      <c r="C167" s="2"/>
      <c r="D167" s="2"/>
      <c r="E167" s="2"/>
      <c r="F167" s="2"/>
      <c r="G167" s="2"/>
      <c r="H167" s="2"/>
    </row>
    <row r="168" spans="3:8" x14ac:dyDescent="0.3">
      <c r="C168" s="2"/>
      <c r="D168" s="2"/>
      <c r="E168" s="2"/>
      <c r="F168" s="2"/>
      <c r="G168" s="2"/>
      <c r="H168" s="2"/>
    </row>
    <row r="169" spans="3:8" x14ac:dyDescent="0.3">
      <c r="C169" s="2"/>
      <c r="D169" s="2"/>
      <c r="E169" s="2"/>
      <c r="F169" s="2"/>
      <c r="G169" s="2"/>
      <c r="H169" s="2"/>
    </row>
    <row r="170" spans="3:8" x14ac:dyDescent="0.3">
      <c r="C170" s="2"/>
      <c r="D170" s="2"/>
      <c r="E170" s="2"/>
      <c r="F170" s="2"/>
      <c r="G170" s="2"/>
      <c r="H170" s="2"/>
    </row>
    <row r="171" spans="3:8" x14ac:dyDescent="0.3">
      <c r="C171" s="2"/>
      <c r="D171" s="2"/>
      <c r="E171" s="2"/>
      <c r="F171" s="2"/>
      <c r="G171" s="2"/>
      <c r="H171" s="2"/>
    </row>
    <row r="172" spans="3:8" x14ac:dyDescent="0.3">
      <c r="C172" s="2"/>
      <c r="D172" s="2"/>
      <c r="E172" s="2"/>
      <c r="F172" s="2"/>
      <c r="G172" s="2"/>
      <c r="H172" s="2"/>
    </row>
    <row r="173" spans="3:8" x14ac:dyDescent="0.3">
      <c r="C173" s="2"/>
      <c r="D173" s="2"/>
      <c r="E173" s="2"/>
      <c r="F173" s="2"/>
      <c r="G173" s="2"/>
      <c r="H173" s="2"/>
    </row>
    <row r="174" spans="3:8" x14ac:dyDescent="0.3">
      <c r="C174" s="2"/>
      <c r="D174" s="2"/>
      <c r="E174" s="2"/>
      <c r="F174" s="2"/>
      <c r="G174" s="2"/>
      <c r="H174" s="2"/>
    </row>
    <row r="175" spans="3:8" x14ac:dyDescent="0.3">
      <c r="C175" s="2"/>
      <c r="D175" s="2"/>
      <c r="E175" s="2"/>
      <c r="F175" s="2"/>
      <c r="G175" s="2"/>
      <c r="H175" s="2"/>
    </row>
    <row r="176" spans="3:8" x14ac:dyDescent="0.3">
      <c r="C176" s="2"/>
      <c r="D176" s="2"/>
      <c r="E176" s="2"/>
      <c r="F176" s="2"/>
      <c r="G176" s="2"/>
      <c r="H176" s="2"/>
    </row>
    <row r="177" spans="3:8" x14ac:dyDescent="0.3">
      <c r="C177" s="2"/>
      <c r="D177" s="2"/>
      <c r="E177" s="2"/>
      <c r="F177" s="2"/>
      <c r="G177" s="2"/>
      <c r="H177" s="2"/>
    </row>
    <row r="178" spans="3:8" x14ac:dyDescent="0.3">
      <c r="C178" s="2"/>
      <c r="D178" s="2"/>
      <c r="E178" s="2"/>
      <c r="F178" s="2"/>
      <c r="G178" s="2"/>
      <c r="H178" s="2"/>
    </row>
    <row r="179" spans="3:8" x14ac:dyDescent="0.3">
      <c r="C179" s="2"/>
      <c r="D179" s="2"/>
      <c r="E179" s="2"/>
      <c r="F179" s="2"/>
      <c r="G179" s="2"/>
      <c r="H179" s="2"/>
    </row>
    <row r="180" spans="3:8" x14ac:dyDescent="0.3">
      <c r="C180" s="2"/>
      <c r="D180" s="2"/>
      <c r="E180" s="2"/>
      <c r="F180" s="2"/>
      <c r="G180" s="2"/>
      <c r="H180" s="2"/>
    </row>
    <row r="181" spans="3:8" x14ac:dyDescent="0.3">
      <c r="C181" s="2"/>
      <c r="D181" s="2"/>
      <c r="E181" s="2"/>
      <c r="F181" s="2"/>
      <c r="G181" s="2"/>
      <c r="H181" s="2"/>
    </row>
    <row r="182" spans="3:8" x14ac:dyDescent="0.3">
      <c r="C182" s="2"/>
      <c r="D182" s="2"/>
      <c r="E182" s="2"/>
      <c r="F182" s="2"/>
      <c r="G182" s="2"/>
      <c r="H182" s="2"/>
    </row>
    <row r="183" spans="3:8" x14ac:dyDescent="0.3">
      <c r="C183" s="2"/>
      <c r="D183" s="2"/>
      <c r="E183" s="2"/>
      <c r="F183" s="2"/>
      <c r="G183" s="2"/>
      <c r="H183" s="2"/>
    </row>
    <row r="184" spans="3:8" x14ac:dyDescent="0.3">
      <c r="C184" s="2"/>
      <c r="D184" s="2"/>
      <c r="E184" s="2"/>
      <c r="F184" s="2"/>
      <c r="G184" s="2"/>
      <c r="H184" s="2"/>
    </row>
    <row r="185" spans="3:8" x14ac:dyDescent="0.3">
      <c r="C185" s="2"/>
      <c r="D185" s="2"/>
      <c r="E185" s="2"/>
      <c r="F185" s="2"/>
      <c r="G185" s="2"/>
      <c r="H185" s="2"/>
    </row>
    <row r="186" spans="3:8" x14ac:dyDescent="0.3">
      <c r="C186" s="2"/>
      <c r="D186" s="2"/>
      <c r="E186" s="2"/>
      <c r="F186" s="2"/>
      <c r="G186" s="2"/>
      <c r="H186" s="2"/>
    </row>
    <row r="187" spans="3:8" x14ac:dyDescent="0.3">
      <c r="C187" s="2"/>
      <c r="D187" s="2"/>
      <c r="E187" s="2"/>
      <c r="F187" s="2"/>
      <c r="G187" s="2"/>
      <c r="H187" s="2"/>
    </row>
    <row r="188" spans="3:8" x14ac:dyDescent="0.3">
      <c r="C188" s="2"/>
      <c r="D188" s="2"/>
      <c r="E188" s="2"/>
      <c r="F188" s="2"/>
      <c r="G188" s="2"/>
      <c r="H188" s="2"/>
    </row>
    <row r="189" spans="3:8" x14ac:dyDescent="0.3">
      <c r="C189" s="2"/>
      <c r="D189" s="2"/>
      <c r="E189" s="2"/>
      <c r="F189" s="2"/>
      <c r="G189" s="2"/>
      <c r="H189" s="2"/>
    </row>
    <row r="190" spans="3:8" x14ac:dyDescent="0.3">
      <c r="C190" s="2"/>
      <c r="D190" s="2"/>
      <c r="E190" s="2"/>
      <c r="F190" s="2"/>
      <c r="G190" s="2"/>
      <c r="H190" s="2"/>
    </row>
    <row r="191" spans="3:8" x14ac:dyDescent="0.3">
      <c r="C191" s="2"/>
      <c r="D191" s="2"/>
      <c r="E191" s="2"/>
      <c r="F191" s="2"/>
      <c r="G191" s="2"/>
      <c r="H191" s="2"/>
    </row>
    <row r="192" spans="3:8" x14ac:dyDescent="0.3">
      <c r="C192" s="2"/>
      <c r="D192" s="2"/>
      <c r="E192" s="2"/>
      <c r="F192" s="2"/>
      <c r="G192" s="2"/>
      <c r="H192" s="2"/>
    </row>
    <row r="276" spans="36:36" x14ac:dyDescent="0.3">
      <c r="AJ276" s="9"/>
    </row>
    <row r="277" spans="36:36" x14ac:dyDescent="0.3">
      <c r="AJ277" s="9"/>
    </row>
  </sheetData>
  <pageMargins left="0.7" right="0.7" top="0.78740157499999996" bottom="0.78740157499999996" header="0.3" footer="0.3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cp:lastPrinted>2021-02-14T09:21:30Z</cp:lastPrinted>
  <dcterms:created xsi:type="dcterms:W3CDTF">2020-12-28T10:56:10Z</dcterms:created>
  <dcterms:modified xsi:type="dcterms:W3CDTF">2021-02-14T11:02:03Z</dcterms:modified>
</cp:coreProperties>
</file>